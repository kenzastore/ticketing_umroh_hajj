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099328A-F7C7-4217-873E-4847F1698342}" xr6:coauthVersionLast="47" xr6:coauthVersionMax="47" xr10:uidLastSave="{00000000-0000-0000-0000-000000000000}"/>
  <bookViews>
    <workbookView xWindow="-108" yWindow="-108" windowWidth="23256" windowHeight="12456" xr2:uid="{9FBB6BA1-5821-464A-B02F-81234347756A}"/>
  </bookViews>
  <sheets>
    <sheet name="TRID-HAJJ 1447H-2026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1" l="1"/>
  <c r="L30" i="1"/>
  <c r="L32" i="1" s="1"/>
  <c r="L26" i="1"/>
  <c r="M26" i="1" s="1"/>
  <c r="L25" i="1"/>
  <c r="M25" i="1" s="1"/>
  <c r="G25" i="1"/>
  <c r="L24" i="1"/>
  <c r="M24" i="1" s="1"/>
  <c r="M28" i="1" s="1"/>
  <c r="I24" i="1"/>
  <c r="G24" i="1"/>
  <c r="M23" i="1"/>
  <c r="L17" i="1"/>
  <c r="M17" i="1" s="1"/>
  <c r="L16" i="1"/>
  <c r="M16" i="1" s="1"/>
  <c r="L15" i="1"/>
  <c r="M15" i="1" s="1"/>
  <c r="M14" i="1"/>
  <c r="L12" i="1"/>
  <c r="K12" i="1"/>
  <c r="D8" i="1"/>
  <c r="M10" i="1" l="1"/>
  <c r="M19" i="1"/>
  <c r="M30" i="1"/>
  <c r="M32" i="1" s="1"/>
</calcChain>
</file>

<file path=xl/sharedStrings.xml><?xml version="1.0" encoding="utf-8"?>
<sst xmlns="http://schemas.openxmlformats.org/spreadsheetml/2006/main" count="119" uniqueCount="70">
  <si>
    <t>CONFIRMED BY</t>
  </si>
  <si>
    <t>SQTR-MES</t>
  </si>
  <si>
    <t>AUTHORIZED</t>
  </si>
  <si>
    <t xml:space="preserve">NAMA AGENT </t>
  </si>
  <si>
    <t>EBAD WISATA</t>
  </si>
  <si>
    <t>DATE OF REQUEST</t>
  </si>
  <si>
    <t>DATE OF CONFIMED</t>
  </si>
  <si>
    <t>-</t>
  </si>
  <si>
    <t>PROGRAM</t>
  </si>
  <si>
    <t>REF ID</t>
  </si>
  <si>
    <t>PNR</t>
  </si>
  <si>
    <t>TOTAL PAX</t>
  </si>
  <si>
    <t>SELISIH</t>
  </si>
  <si>
    <t>TOUR CODE</t>
  </si>
  <si>
    <t>GRP DEP</t>
  </si>
  <si>
    <t>NO</t>
  </si>
  <si>
    <t>DATE DEP/ARR</t>
  </si>
  <si>
    <t>FLIGHT NO</t>
  </si>
  <si>
    <t>CITY</t>
  </si>
  <si>
    <t>TIME</t>
  </si>
  <si>
    <t>REFERENCE ID</t>
  </si>
  <si>
    <t>TIME LIMIT PAYMENT BY ELANG EMAS WISATA</t>
  </si>
  <si>
    <t>DATE OF PAYMENT</t>
  </si>
  <si>
    <t>TTL PAX</t>
  </si>
  <si>
    <t>REMARKS</t>
  </si>
  <si>
    <t>FARE PER-PAX</t>
  </si>
  <si>
    <t>DEBET</t>
  </si>
  <si>
    <t>FROM</t>
  </si>
  <si>
    <t>BANK ACCOUNT NAME</t>
  </si>
  <si>
    <t>TO</t>
  </si>
  <si>
    <t>TR297</t>
  </si>
  <si>
    <t>SUB SIN</t>
  </si>
  <si>
    <t>1035-14:00</t>
  </si>
  <si>
    <t>NIL</t>
  </si>
  <si>
    <t>SELLING FARE - TRTR</t>
  </si>
  <si>
    <t>TR596</t>
  </si>
  <si>
    <t>SIN JED</t>
  </si>
  <si>
    <t>1605-2035</t>
  </si>
  <si>
    <t>TR597</t>
  </si>
  <si>
    <t>JED SIN</t>
  </si>
  <si>
    <t>2150-1235+1</t>
  </si>
  <si>
    <t>TR266</t>
  </si>
  <si>
    <t>SIN SUB</t>
  </si>
  <si>
    <t>1715-1835</t>
  </si>
  <si>
    <t>BALANCE</t>
  </si>
  <si>
    <t>TIME LIMIT PAYMENT BY FLYSCOOT</t>
  </si>
  <si>
    <t>NETT FARES</t>
  </si>
  <si>
    <t>INCENTIVE</t>
  </si>
  <si>
    <t>DISCOUNT</t>
  </si>
  <si>
    <t>26DAYS</t>
  </si>
  <si>
    <t>A125629</t>
  </si>
  <si>
    <t>VFUQ8X</t>
  </si>
  <si>
    <t>45 ADULT</t>
  </si>
  <si>
    <t>11MAY-45S-26D-TRID</t>
  </si>
  <si>
    <t>BANK ACCOUNT NUMBER</t>
  </si>
  <si>
    <t>BANK ACCOUNTNUMBER</t>
  </si>
  <si>
    <t>DEPOSIT-T 1 ( 20%) TRID</t>
  </si>
  <si>
    <t>BANK MANDIRI</t>
  </si>
  <si>
    <t>DEPOSIT-T 2 ( 30%) TRID</t>
  </si>
  <si>
    <t>DEPOSIT-T 3 ( 50%) TRID</t>
  </si>
  <si>
    <t>DEPOSIT - 1 - TO TRID</t>
  </si>
  <si>
    <t>ABDUL HARIS NIRA</t>
  </si>
  <si>
    <t>BANK MANDIRI PAHLAWAN</t>
  </si>
  <si>
    <t>STANDARD CHARETERD BANK</t>
  </si>
  <si>
    <t>DEPOSIT - 2 - TO TRID</t>
  </si>
  <si>
    <t>DEPOSIT - 3 - TO TRID</t>
  </si>
  <si>
    <t>9328274774i44</t>
  </si>
  <si>
    <t>PT ELANG</t>
  </si>
  <si>
    <t>ANGIN RIBUT</t>
  </si>
  <si>
    <t>SCOOT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</si>
</sst>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@\ * &quot;:&quot;\ "/>
    <numFmt numFmtId="165" formatCode="[$-409]d\-mmm\-yy;@"/>
    <numFmt numFmtId="166" formatCode="[$-13809]dddd\,\ dd\ mmmm\ yyyy;@"/>
    <numFmt numFmtId="167" formatCode="0;[Red]0"/>
    <numFmt numFmtId="168" formatCode="_(\R\p* #,##0_);_(\R\p* \(#,##0\);_(\R\p* &quot;-&quot;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2060"/>
      <name val="Arial Narrow"/>
      <family val="2"/>
    </font>
    <font>
      <b/>
      <sz val="11"/>
      <color rgb="FF002060"/>
      <name val="Calibri"/>
      <family val="2"/>
      <scheme val="minor"/>
    </font>
    <font>
      <sz val="10"/>
      <color theme="1"/>
      <name val="Arial Narrow"/>
      <family val="2"/>
    </font>
    <font>
      <b/>
      <sz val="10"/>
      <color rgb="FF000099"/>
      <name val="Arial Narrow"/>
      <family val="2"/>
    </font>
    <font>
      <sz val="10"/>
      <color rgb="FF000099"/>
      <name val="Arial Narrow"/>
      <family val="2"/>
    </font>
    <font>
      <b/>
      <sz val="10"/>
      <color theme="1"/>
      <name val="Arial Narrow"/>
      <family val="2"/>
    </font>
    <font>
      <b/>
      <sz val="10"/>
      <color rgb="FF0000FF"/>
      <name val="Arial Narrow"/>
      <family val="2"/>
    </font>
    <font>
      <sz val="10"/>
      <color rgb="FFC00000"/>
      <name val="Arial Narrow"/>
      <family val="2"/>
    </font>
    <font>
      <b/>
      <sz val="10"/>
      <color theme="0"/>
      <name val="Arial Narrow"/>
      <family val="2"/>
    </font>
    <font>
      <sz val="11"/>
      <color theme="1"/>
      <name val="Arial Narrow"/>
      <family val="2"/>
    </font>
    <font>
      <sz val="10"/>
      <name val="Arial Narrow"/>
      <family val="2"/>
    </font>
    <font>
      <b/>
      <sz val="10"/>
      <color rgb="FF0000CC"/>
      <name val="Arial Narrow"/>
      <family val="2"/>
    </font>
    <font>
      <sz val="10"/>
      <color rgb="FF0070C0"/>
      <name val="Arial Narrow"/>
      <family val="2"/>
    </font>
    <font>
      <sz val="10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00B050"/>
      </left>
      <right style="thin">
        <color rgb="FF00B050"/>
      </right>
      <top style="double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double">
        <color rgb="FF00B050"/>
      </top>
      <bottom style="thin">
        <color rgb="FF00B050"/>
      </bottom>
      <diagonal/>
    </border>
    <border>
      <left style="thin">
        <color rgb="FF00B050"/>
      </left>
      <right style="double">
        <color rgb="FF00B050"/>
      </right>
      <top style="double">
        <color rgb="FF00B050"/>
      </top>
      <bottom style="thin">
        <color rgb="FF00B050"/>
      </bottom>
      <diagonal/>
    </border>
    <border>
      <left style="double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double">
        <color rgb="FF00B050"/>
      </right>
      <top style="thin">
        <color rgb="FF00B050"/>
      </top>
      <bottom style="thin">
        <color rgb="FF00B050"/>
      </bottom>
      <diagonal/>
    </border>
    <border>
      <left style="double">
        <color rgb="FF00B050"/>
      </left>
      <right style="thin">
        <color rgb="FF00B050"/>
      </right>
      <top style="thin">
        <color rgb="FF00B050"/>
      </top>
      <bottom style="double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double">
        <color rgb="FF00B050"/>
      </bottom>
      <diagonal/>
    </border>
    <border>
      <left style="thin">
        <color rgb="FF00B050"/>
      </left>
      <right style="double">
        <color rgb="FF00B050"/>
      </right>
      <top style="thin">
        <color rgb="FF00B050"/>
      </top>
      <bottom style="double">
        <color rgb="FF00B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double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/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 style="thin">
        <color rgb="FFFF0000"/>
      </top>
      <bottom/>
      <diagonal/>
    </border>
    <border>
      <left/>
      <right/>
      <top style="double">
        <color rgb="FFFF0000"/>
      </top>
      <bottom/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xfId="0"/>
    <xf numFmtId="164" fontId="2" fillId="2" borderId="0" xfId="1" applyNumberFormat="1" applyFont="1" applyFill="1" applyAlignment="1">
      <alignment horizontal="left" vertical="center" wrapText="1"/>
    </xf>
    <xf numFmtId="165" fontId="2" fillId="2" borderId="0" xfId="1" applyNumberFormat="1" applyFont="1" applyFill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3" fillId="2" borderId="0" xfId="1" applyFont="1" applyFill="1" applyAlignment="1">
      <alignment vertical="center" wrapText="1"/>
    </xf>
    <xf numFmtId="0" fontId="4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4" fillId="3" borderId="0" xfId="1" applyFont="1" applyFill="1" applyAlignment="1">
      <alignment vertical="center"/>
    </xf>
    <xf numFmtId="164" fontId="2" fillId="3" borderId="0" xfId="1" applyNumberFormat="1" applyFont="1" applyFill="1" applyAlignment="1">
      <alignment horizontal="left" vertical="center" wrapText="1"/>
    </xf>
    <xf numFmtId="165" fontId="2" fillId="3" borderId="0" xfId="1" applyNumberFormat="1" applyFont="1" applyFill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3" fillId="3" borderId="0" xfId="1" applyFont="1" applyFill="1" applyAlignment="1">
      <alignment vertical="center" wrapText="1"/>
    </xf>
    <xf numFmtId="164" fontId="5" fillId="3" borderId="0" xfId="0" applyNumberFormat="1" applyFont="1" applyFill="1" applyAlignment="1">
      <alignment horizontal="left" vertical="center" wrapText="1"/>
    </xf>
    <xf numFmtId="165" fontId="5" fillId="3" borderId="0" xfId="1" applyNumberFormat="1" applyFont="1" applyFill="1" applyAlignment="1">
      <alignment vertical="center" wrapText="1"/>
    </xf>
    <xf numFmtId="165" fontId="6" fillId="3" borderId="0" xfId="1" applyNumberFormat="1" applyFont="1" applyFill="1" applyAlignment="1">
      <alignment vertical="center" wrapText="1"/>
    </xf>
    <xf numFmtId="0" fontId="6" fillId="3" borderId="0" xfId="1" applyFont="1" applyFill="1" applyAlignment="1">
      <alignment horizontal="left" vertical="center" wrapText="1"/>
    </xf>
    <xf numFmtId="0" fontId="6" fillId="3" borderId="0" xfId="1" applyFont="1" applyFill="1" applyAlignment="1">
      <alignment vertical="center" wrapText="1"/>
    </xf>
    <xf numFmtId="0" fontId="6" fillId="3" borderId="0" xfId="1" applyFont="1" applyFill="1" applyAlignment="1">
      <alignment vertical="center"/>
    </xf>
    <xf numFmtId="164" fontId="4" fillId="3" borderId="0" xfId="0" applyNumberFormat="1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6" fontId="4" fillId="3" borderId="0" xfId="1" applyNumberFormat="1" applyFont="1" applyFill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3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left" vertical="center" wrapText="1"/>
    </xf>
    <xf numFmtId="0" fontId="4" fillId="3" borderId="0" xfId="1" applyFont="1" applyFill="1" applyAlignment="1">
      <alignment vertical="center" wrapText="1"/>
    </xf>
    <xf numFmtId="164" fontId="4" fillId="3" borderId="0" xfId="1" applyNumberFormat="1" applyFont="1" applyFill="1" applyAlignment="1">
      <alignment horizontal="left" vertical="center" wrapText="1"/>
    </xf>
    <xf numFmtId="0" fontId="4" fillId="3" borderId="0" xfId="1" applyFont="1" applyFill="1" applyAlignment="1">
      <alignment vertical="center" wrapText="1"/>
    </xf>
    <xf numFmtId="165" fontId="4" fillId="3" borderId="0" xfId="1" applyNumberFormat="1" applyFont="1" applyFill="1" applyAlignment="1">
      <alignment vertical="center"/>
    </xf>
    <xf numFmtId="167" fontId="7" fillId="4" borderId="0" xfId="1" applyNumberFormat="1" applyFont="1" applyFill="1" applyAlignment="1">
      <alignment horizontal="left" vertical="center" wrapText="1"/>
    </xf>
    <xf numFmtId="164" fontId="4" fillId="3" borderId="0" xfId="1" applyNumberFormat="1" applyFont="1" applyFill="1" applyAlignment="1">
      <alignment horizontal="left" vertical="center"/>
    </xf>
    <xf numFmtId="0" fontId="8" fillId="3" borderId="0" xfId="1" applyFont="1" applyFill="1" applyAlignment="1">
      <alignment vertical="center" wrapText="1"/>
    </xf>
    <xf numFmtId="164" fontId="9" fillId="3" borderId="0" xfId="1" applyNumberFormat="1" applyFont="1" applyFill="1" applyAlignment="1">
      <alignment horizontal="left" vertical="center" wrapText="1"/>
    </xf>
    <xf numFmtId="0" fontId="9" fillId="3" borderId="0" xfId="1" applyFont="1" applyFill="1" applyAlignment="1">
      <alignment vertical="center" wrapText="1"/>
    </xf>
    <xf numFmtId="165" fontId="9" fillId="3" borderId="0" xfId="1" applyNumberFormat="1" applyFont="1" applyFill="1" applyAlignment="1">
      <alignment vertical="center"/>
    </xf>
    <xf numFmtId="165" fontId="4" fillId="3" borderId="0" xfId="1" applyNumberFormat="1" applyFont="1" applyFill="1" applyAlignment="1">
      <alignment vertical="center" wrapText="1"/>
    </xf>
    <xf numFmtId="0" fontId="4" fillId="0" borderId="0" xfId="1" applyFont="1" applyAlignment="1">
      <alignment vertical="center" wrapText="1"/>
    </xf>
    <xf numFmtId="0" fontId="8" fillId="3" borderId="0" xfId="1" applyFont="1" applyFill="1" applyAlignment="1">
      <alignment horizontal="left" vertical="center"/>
    </xf>
    <xf numFmtId="0" fontId="10" fillId="3" borderId="0" xfId="1" applyFont="1" applyFill="1" applyAlignment="1">
      <alignment horizontal="center" vertical="center"/>
    </xf>
    <xf numFmtId="168" fontId="10" fillId="3" borderId="0" xfId="1" applyNumberFormat="1" applyFont="1" applyFill="1" applyAlignment="1">
      <alignment vertical="center"/>
    </xf>
    <xf numFmtId="165" fontId="4" fillId="3" borderId="0" xfId="1" applyNumberFormat="1" applyFont="1" applyFill="1" applyAlignment="1">
      <alignment vertical="center" wrapText="1"/>
    </xf>
    <xf numFmtId="164" fontId="8" fillId="3" borderId="1" xfId="1" applyNumberFormat="1" applyFont="1" applyFill="1" applyBorder="1" applyAlignment="1">
      <alignment horizontal="left" vertical="center" wrapText="1"/>
    </xf>
    <xf numFmtId="165" fontId="8" fillId="3" borderId="0" xfId="1" applyNumberFormat="1" applyFont="1" applyFill="1" applyAlignment="1">
      <alignment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top"/>
    </xf>
    <xf numFmtId="165" fontId="4" fillId="3" borderId="5" xfId="1" applyNumberFormat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vertical="center"/>
    </xf>
    <xf numFmtId="168" fontId="4" fillId="3" borderId="5" xfId="1" applyNumberFormat="1" applyFont="1" applyFill="1" applyBorder="1" applyAlignment="1">
      <alignment vertical="center"/>
    </xf>
    <xf numFmtId="168" fontId="4" fillId="3" borderId="6" xfId="1" applyNumberFormat="1" applyFont="1" applyFill="1" applyBorder="1" applyAlignment="1">
      <alignment vertical="center"/>
    </xf>
    <xf numFmtId="165" fontId="4" fillId="3" borderId="3" xfId="1" applyNumberFormat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166" fontId="4" fillId="3" borderId="7" xfId="1" applyNumberFormat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vertical="center"/>
    </xf>
    <xf numFmtId="168" fontId="4" fillId="3" borderId="3" xfId="1" applyNumberFormat="1" applyFont="1" applyFill="1" applyBorder="1" applyAlignment="1">
      <alignment vertical="center"/>
    </xf>
    <xf numFmtId="168" fontId="4" fillId="3" borderId="8" xfId="1" applyNumberFormat="1" applyFont="1" applyFill="1" applyBorder="1" applyAlignment="1">
      <alignment vertical="center"/>
    </xf>
    <xf numFmtId="0" fontId="12" fillId="3" borderId="3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top"/>
    </xf>
    <xf numFmtId="0" fontId="4" fillId="3" borderId="0" xfId="1" applyFont="1" applyFill="1" applyAlignment="1">
      <alignment horizontal="center" vertical="top"/>
    </xf>
    <xf numFmtId="165" fontId="4" fillId="3" borderId="0" xfId="1" applyNumberFormat="1" applyFont="1" applyFill="1" applyAlignment="1">
      <alignment horizontal="center" vertical="center"/>
    </xf>
    <xf numFmtId="0" fontId="4" fillId="3" borderId="9" xfId="1" applyFont="1" applyFill="1" applyBorder="1" applyAlignment="1">
      <alignment vertical="center"/>
    </xf>
    <xf numFmtId="168" fontId="4" fillId="3" borderId="9" xfId="1" applyNumberFormat="1" applyFont="1" applyFill="1" applyBorder="1" applyAlignment="1">
      <alignment vertical="center"/>
    </xf>
    <xf numFmtId="168" fontId="4" fillId="3" borderId="10" xfId="1" applyNumberFormat="1" applyFont="1" applyFill="1" applyBorder="1" applyAlignment="1">
      <alignment vertical="center"/>
    </xf>
    <xf numFmtId="0" fontId="12" fillId="3" borderId="0" xfId="1" applyFont="1" applyFill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vertical="center"/>
    </xf>
    <xf numFmtId="0" fontId="7" fillId="3" borderId="12" xfId="1" applyFont="1" applyFill="1" applyBorder="1" applyAlignment="1">
      <alignment vertical="center"/>
    </xf>
    <xf numFmtId="168" fontId="7" fillId="3" borderId="13" xfId="1" applyNumberFormat="1" applyFont="1" applyFill="1" applyBorder="1" applyAlignment="1">
      <alignment vertical="center"/>
    </xf>
    <xf numFmtId="168" fontId="4" fillId="3" borderId="0" xfId="1" applyNumberFormat="1" applyFont="1" applyFill="1" applyAlignment="1">
      <alignment vertical="center"/>
    </xf>
    <xf numFmtId="0" fontId="13" fillId="3" borderId="14" xfId="1" applyFont="1" applyFill="1" applyBorder="1" applyAlignment="1">
      <alignment horizontal="center" vertical="center" wrapText="1"/>
    </xf>
    <xf numFmtId="165" fontId="13" fillId="3" borderId="14" xfId="1" applyNumberFormat="1" applyFont="1" applyFill="1" applyBorder="1" applyAlignment="1">
      <alignment horizontal="center" vertical="center" wrapText="1"/>
    </xf>
    <xf numFmtId="168" fontId="13" fillId="3" borderId="14" xfId="1" applyNumberFormat="1" applyFont="1" applyFill="1" applyBorder="1" applyAlignment="1">
      <alignment horizontal="center" vertical="center" wrapText="1"/>
    </xf>
    <xf numFmtId="165" fontId="6" fillId="3" borderId="15" xfId="1" applyNumberFormat="1" applyFont="1" applyFill="1" applyBorder="1" applyAlignment="1">
      <alignment horizontal="center" vertical="center"/>
    </xf>
    <xf numFmtId="165" fontId="6" fillId="3" borderId="7" xfId="1" applyNumberFormat="1" applyFont="1" applyFill="1" applyBorder="1" applyAlignment="1">
      <alignment horizontal="center" vertical="center"/>
    </xf>
    <xf numFmtId="165" fontId="6" fillId="3" borderId="16" xfId="1" applyNumberFormat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vertical="center"/>
    </xf>
    <xf numFmtId="168" fontId="5" fillId="3" borderId="7" xfId="1" applyNumberFormat="1" applyFont="1" applyFill="1" applyBorder="1" applyAlignment="1">
      <alignment vertical="center"/>
    </xf>
    <xf numFmtId="0" fontId="4" fillId="3" borderId="7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166" fontId="6" fillId="3" borderId="7" xfId="1" applyNumberFormat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vertical="center"/>
    </xf>
    <xf numFmtId="168" fontId="6" fillId="3" borderId="7" xfId="1" applyNumberFormat="1" applyFont="1" applyFill="1" applyBorder="1" applyAlignment="1">
      <alignment vertical="center"/>
    </xf>
    <xf numFmtId="0" fontId="6" fillId="3" borderId="15" xfId="1" applyFont="1" applyFill="1" applyBorder="1" applyAlignment="1">
      <alignment horizontal="center" vertical="center"/>
    </xf>
    <xf numFmtId="165" fontId="6" fillId="3" borderId="17" xfId="1" applyNumberFormat="1" applyFont="1" applyFill="1" applyBorder="1" applyAlignment="1">
      <alignment horizontal="center" vertical="center"/>
    </xf>
    <xf numFmtId="0" fontId="6" fillId="3" borderId="18" xfId="1" applyFont="1" applyFill="1" applyBorder="1" applyAlignment="1">
      <alignment vertical="center"/>
    </xf>
    <xf numFmtId="168" fontId="6" fillId="3" borderId="18" xfId="1" applyNumberFormat="1" applyFont="1" applyFill="1" applyBorder="1" applyAlignment="1">
      <alignment vertical="center"/>
    </xf>
    <xf numFmtId="0" fontId="4" fillId="3" borderId="19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vertical="center"/>
    </xf>
    <xf numFmtId="0" fontId="7" fillId="3" borderId="14" xfId="1" applyFont="1" applyFill="1" applyBorder="1" applyAlignment="1">
      <alignment vertical="center"/>
    </xf>
    <xf numFmtId="168" fontId="7" fillId="3" borderId="20" xfId="1" applyNumberFormat="1" applyFont="1" applyFill="1" applyBorder="1" applyAlignment="1">
      <alignment vertical="center"/>
    </xf>
    <xf numFmtId="168" fontId="6" fillId="3" borderId="0" xfId="1" applyNumberFormat="1" applyFont="1" applyFill="1" applyAlignment="1">
      <alignment vertical="center"/>
    </xf>
    <xf numFmtId="165" fontId="4" fillId="3" borderId="21" xfId="1" applyNumberFormat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42" fontId="6" fillId="3" borderId="22" xfId="1" applyNumberFormat="1" applyFont="1" applyFill="1" applyBorder="1" applyAlignment="1">
      <alignment vertical="center"/>
    </xf>
    <xf numFmtId="168" fontId="14" fillId="3" borderId="22" xfId="1" applyNumberFormat="1" applyFont="1" applyFill="1" applyBorder="1" applyAlignment="1">
      <alignment vertical="center"/>
    </xf>
    <xf numFmtId="168" fontId="14" fillId="3" borderId="23" xfId="1" applyNumberFormat="1" applyFont="1" applyFill="1" applyBorder="1" applyAlignment="1">
      <alignment vertical="center"/>
    </xf>
    <xf numFmtId="165" fontId="4" fillId="3" borderId="24" xfId="1" applyNumberFormat="1" applyFont="1" applyFill="1" applyBorder="1" applyAlignment="1">
      <alignment horizontal="center" vertical="center"/>
    </xf>
    <xf numFmtId="0" fontId="14" fillId="3" borderId="25" xfId="1" applyFont="1" applyFill="1" applyBorder="1" applyAlignment="1">
      <alignment horizontal="center" vertical="center"/>
    </xf>
    <xf numFmtId="42" fontId="6" fillId="3" borderId="25" xfId="1" applyNumberFormat="1" applyFont="1" applyFill="1" applyBorder="1" applyAlignment="1">
      <alignment vertical="center"/>
    </xf>
    <xf numFmtId="168" fontId="14" fillId="3" borderId="25" xfId="1" applyNumberFormat="1" applyFont="1" applyFill="1" applyBorder="1" applyAlignment="1">
      <alignment vertical="center"/>
    </xf>
    <xf numFmtId="168" fontId="14" fillId="3" borderId="26" xfId="1" applyNumberFormat="1" applyFont="1" applyFill="1" applyBorder="1" applyAlignment="1">
      <alignment vertical="center"/>
    </xf>
    <xf numFmtId="165" fontId="4" fillId="3" borderId="27" xfId="1" applyNumberFormat="1" applyFont="1" applyFill="1" applyBorder="1" applyAlignment="1">
      <alignment horizontal="center" vertical="center"/>
    </xf>
    <xf numFmtId="0" fontId="4" fillId="3" borderId="28" xfId="1" applyFont="1" applyFill="1" applyBorder="1" applyAlignment="1">
      <alignment horizontal="center" vertical="center"/>
    </xf>
    <xf numFmtId="42" fontId="6" fillId="3" borderId="28" xfId="1" applyNumberFormat="1" applyFont="1" applyFill="1" applyBorder="1" applyAlignment="1">
      <alignment vertical="center"/>
    </xf>
    <xf numFmtId="168" fontId="14" fillId="3" borderId="28" xfId="1" applyNumberFormat="1" applyFont="1" applyFill="1" applyBorder="1" applyAlignment="1">
      <alignment vertical="center"/>
    </xf>
    <xf numFmtId="168" fontId="14" fillId="3" borderId="29" xfId="1" applyNumberFormat="1" applyFont="1" applyFill="1" applyBorder="1" applyAlignment="1">
      <alignment vertical="center"/>
    </xf>
    <xf numFmtId="166" fontId="5" fillId="3" borderId="7" xfId="1" applyNumberFormat="1" applyFont="1" applyFill="1" applyBorder="1" applyAlignment="1">
      <alignment horizontal="left" vertical="center"/>
    </xf>
    <xf numFmtId="0" fontId="7" fillId="3" borderId="30" xfId="1" applyFont="1" applyFill="1" applyBorder="1" applyAlignment="1">
      <alignment horizontal="center" vertical="center" wrapText="1"/>
    </xf>
    <xf numFmtId="0" fontId="4" fillId="3" borderId="31" xfId="1" applyFont="1" applyFill="1" applyBorder="1" applyAlignment="1">
      <alignment horizontal="center" vertical="center"/>
    </xf>
    <xf numFmtId="0" fontId="4" fillId="3" borderId="32" xfId="1" applyFont="1" applyFill="1" applyBorder="1" applyAlignment="1">
      <alignment horizontal="center" vertical="center"/>
    </xf>
    <xf numFmtId="0" fontId="4" fillId="3" borderId="33" xfId="1" applyFont="1" applyFill="1" applyBorder="1" applyAlignment="1">
      <alignment horizontal="center" vertical="center"/>
    </xf>
    <xf numFmtId="0" fontId="4" fillId="3" borderId="34" xfId="1" applyFont="1" applyFill="1" applyBorder="1" applyAlignment="1">
      <alignment vertical="center"/>
    </xf>
    <xf numFmtId="0" fontId="4" fillId="3" borderId="35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36" xfId="1" applyFont="1" applyFill="1" applyBorder="1" applyAlignment="1">
      <alignment vertical="center"/>
    </xf>
    <xf numFmtId="0" fontId="4" fillId="3" borderId="37" xfId="1" applyFont="1" applyFill="1" applyBorder="1" applyAlignment="1">
      <alignment horizontal="center" vertical="center"/>
    </xf>
    <xf numFmtId="0" fontId="4" fillId="3" borderId="37" xfId="1" applyFont="1" applyFill="1" applyBorder="1" applyAlignment="1">
      <alignment vertical="center"/>
    </xf>
    <xf numFmtId="0" fontId="13" fillId="3" borderId="38" xfId="1" applyFont="1" applyFill="1" applyBorder="1" applyAlignment="1">
      <alignment horizontal="center" vertical="center" wrapText="1"/>
    </xf>
    <xf numFmtId="0" fontId="13" fillId="3" borderId="0" xfId="1" applyFont="1" applyFill="1" applyAlignment="1">
      <alignment horizontal="center" vertical="center" wrapText="1"/>
    </xf>
    <xf numFmtId="0" fontId="4" fillId="3" borderId="39" xfId="1" applyFont="1" applyFill="1" applyBorder="1" applyAlignment="1">
      <alignment horizontal="center" vertical="center"/>
    </xf>
    <xf numFmtId="0" fontId="4" fillId="3" borderId="39" xfId="1" applyFont="1" applyFill="1" applyBorder="1" applyAlignment="1">
      <alignment vertical="center"/>
    </xf>
    <xf numFmtId="0" fontId="4" fillId="3" borderId="40" xfId="1" applyFont="1" applyFill="1" applyBorder="1" applyAlignment="1">
      <alignment horizontal="center" vertical="center"/>
    </xf>
    <xf numFmtId="0" fontId="4" fillId="3" borderId="41" xfId="1" applyFont="1" applyFill="1" applyBorder="1" applyAlignment="1">
      <alignment horizontal="center" vertical="center"/>
    </xf>
    <xf numFmtId="0" fontId="4" fillId="3" borderId="41" xfId="1" applyFont="1" applyFill="1" applyBorder="1" applyAlignment="1">
      <alignment vertical="center"/>
    </xf>
    <xf numFmtId="42" fontId="6" fillId="3" borderId="42" xfId="1" applyNumberFormat="1" applyFont="1" applyFill="1" applyBorder="1" applyAlignment="1">
      <alignment vertical="center"/>
    </xf>
    <xf numFmtId="0" fontId="4" fillId="3" borderId="4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vertical="center"/>
    </xf>
    <xf numFmtId="0" fontId="4" fillId="3" borderId="44" xfId="1" applyFont="1" applyFill="1" applyBorder="1" applyAlignment="1">
      <alignment vertical="center"/>
    </xf>
    <xf numFmtId="0" fontId="4" fillId="3" borderId="45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vertical="center"/>
    </xf>
    <xf numFmtId="0" fontId="4" fillId="3" borderId="46" xfId="1" applyFont="1" applyFill="1" applyBorder="1" applyAlignment="1">
      <alignment vertical="center"/>
    </xf>
    <xf numFmtId="0" fontId="4" fillId="3" borderId="47" xfId="1" applyFont="1" applyFill="1" applyBorder="1" applyAlignment="1">
      <alignment horizontal="center" vertical="center"/>
    </xf>
    <xf numFmtId="0" fontId="4" fillId="3" borderId="47" xfId="1" applyFont="1" applyFill="1" applyBorder="1" applyAlignment="1">
      <alignment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vertical="center"/>
    </xf>
    <xf numFmtId="0" fontId="4" fillId="3" borderId="23" xfId="1" applyFont="1" applyFill="1" applyBorder="1" applyAlignment="1">
      <alignment vertical="center"/>
    </xf>
    <xf numFmtId="0" fontId="15" fillId="3" borderId="24" xfId="1" applyFont="1" applyFill="1" applyBorder="1" applyAlignment="1">
      <alignment horizontal="center" vertical="center"/>
    </xf>
    <xf numFmtId="0" fontId="15" fillId="3" borderId="25" xfId="1" applyFont="1" applyFill="1" applyBorder="1" applyAlignment="1">
      <alignment horizontal="center" vertical="center"/>
    </xf>
    <xf numFmtId="0" fontId="4" fillId="3" borderId="25" xfId="1" applyFont="1" applyFill="1" applyBorder="1" applyAlignment="1">
      <alignment vertical="center"/>
    </xf>
    <xf numFmtId="0" fontId="4" fillId="3" borderId="26" xfId="1" applyFont="1" applyFill="1" applyBorder="1" applyAlignment="1">
      <alignment vertical="center"/>
    </xf>
    <xf numFmtId="0" fontId="4" fillId="3" borderId="27" xfId="1" applyFont="1" applyFill="1" applyBorder="1" applyAlignment="1">
      <alignment horizontal="center" vertical="center"/>
    </xf>
    <xf numFmtId="0" fontId="4" fillId="3" borderId="28" xfId="1" applyFont="1" applyFill="1" applyBorder="1" applyAlignment="1">
      <alignment vertical="center"/>
    </xf>
    <xf numFmtId="0" fontId="4" fillId="3" borderId="29" xfId="1" applyFont="1" applyFill="1" applyBorder="1" applyAlignment="1">
      <alignment vertical="center"/>
    </xf>
  </cellXfs>
  <cellStyles count="2">
    <cellStyle name="Normal" xfId="0" builtinId="0"/>
    <cellStyle name="Normal 2 2" xfId="1" xr:uid="{D3CF749D-F36E-4940-9974-F3DBF1BA4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2F34-7CAE-4BBE-9341-C8C7F3201FE4}">
  <dimension ref="B1:T33"/>
  <sheetViews>
    <sheetView tabSelected="1" zoomScale="108" zoomScaleNormal="75" workbookViewId="0">
      <selection activeCell="G6" sqref="G6:H6"/>
    </sheetView>
  </sheetViews>
  <sheetFormatPr defaultColWidth="9.109375" defaultRowHeight="15" customHeight="1" x14ac:dyDescent="0.3"/>
  <cols>
    <col min="1" max="1" width="3.77734375" style="7" customWidth="1"/>
    <col min="2" max="2" width="6.44140625" style="5" customWidth="1"/>
    <col min="3" max="3" width="11.5546875" style="7" customWidth="1"/>
    <col min="4" max="4" width="8.77734375" style="7" customWidth="1"/>
    <col min="5" max="5" width="12.77734375" style="7" customWidth="1"/>
    <col min="6" max="6" width="10.77734375" style="7" customWidth="1"/>
    <col min="7" max="7" width="11.109375" style="5" customWidth="1"/>
    <col min="8" max="8" width="22.77734375" style="5" customWidth="1"/>
    <col min="9" max="9" width="10.77734375" style="5" customWidth="1"/>
    <col min="10" max="10" width="8.77734375" style="5" customWidth="1"/>
    <col min="11" max="11" width="35.77734375" style="7" customWidth="1"/>
    <col min="12" max="12" width="15" style="7" customWidth="1"/>
    <col min="13" max="13" width="15.77734375" style="7" customWidth="1"/>
    <col min="14" max="14" width="2.77734375" style="7" customWidth="1"/>
    <col min="15" max="16" width="20.77734375" style="5" customWidth="1"/>
    <col min="17" max="17" width="17.77734375" style="5" customWidth="1"/>
    <col min="18" max="18" width="20.77734375" style="5" customWidth="1"/>
    <col min="19" max="19" width="25.77734375" style="7" customWidth="1"/>
    <col min="20" max="20" width="20.77734375" style="7" customWidth="1"/>
    <col min="21" max="16384" width="9.109375" style="7"/>
  </cols>
  <sheetData>
    <row r="1" spans="2:20" ht="15" customHeight="1" x14ac:dyDescent="0.3">
      <c r="B1" s="1" t="s">
        <v>0</v>
      </c>
      <c r="C1" s="1"/>
      <c r="D1" s="2" t="s">
        <v>1</v>
      </c>
      <c r="E1" s="3"/>
      <c r="F1" s="4"/>
      <c r="I1" s="6"/>
    </row>
    <row r="2" spans="2:20" ht="15" customHeight="1" x14ac:dyDescent="0.3">
      <c r="B2" s="1" t="s">
        <v>2</v>
      </c>
      <c r="C2" s="1"/>
      <c r="D2" s="2" t="s">
        <v>1</v>
      </c>
      <c r="E2" s="3"/>
      <c r="F2" s="4"/>
      <c r="I2" s="6"/>
    </row>
    <row r="3" spans="2:20" ht="15" customHeight="1" x14ac:dyDescent="0.3">
      <c r="B3" s="8"/>
      <c r="C3" s="8"/>
      <c r="D3" s="9"/>
      <c r="E3" s="10"/>
      <c r="F3" s="11"/>
      <c r="I3" s="6"/>
    </row>
    <row r="5" spans="2:20" ht="15" customHeight="1" x14ac:dyDescent="0.3">
      <c r="B5" s="12" t="s">
        <v>3</v>
      </c>
      <c r="C5" s="12"/>
      <c r="D5" s="13" t="s">
        <v>4</v>
      </c>
      <c r="E5" s="13"/>
      <c r="F5" s="14"/>
      <c r="O5" s="15"/>
      <c r="P5" s="16"/>
      <c r="Q5" s="17"/>
      <c r="R5" s="17"/>
      <c r="S5" s="17"/>
    </row>
    <row r="6" spans="2:20" ht="15" customHeight="1" x14ac:dyDescent="0.3">
      <c r="B6" s="18" t="s">
        <v>5</v>
      </c>
      <c r="C6" s="19"/>
      <c r="D6" s="20">
        <v>45992</v>
      </c>
      <c r="E6" s="21"/>
      <c r="F6" s="22"/>
      <c r="G6" s="23"/>
      <c r="H6" s="23"/>
      <c r="O6" s="24"/>
      <c r="P6" s="25"/>
      <c r="Q6" s="7"/>
      <c r="R6" s="7"/>
    </row>
    <row r="7" spans="2:20" ht="15" customHeight="1" x14ac:dyDescent="0.3">
      <c r="B7" s="18" t="s">
        <v>6</v>
      </c>
      <c r="C7" s="19"/>
      <c r="D7" s="20">
        <v>46387</v>
      </c>
      <c r="E7" s="21"/>
      <c r="F7" s="24"/>
      <c r="G7" s="23"/>
      <c r="H7" s="23"/>
      <c r="O7" s="26"/>
      <c r="P7" s="27"/>
      <c r="Q7" s="28"/>
      <c r="R7" s="28"/>
      <c r="S7" s="28"/>
    </row>
    <row r="8" spans="2:20" ht="15" customHeight="1" x14ac:dyDescent="0.3">
      <c r="B8" s="18" t="s">
        <v>8</v>
      </c>
      <c r="C8" s="18"/>
      <c r="D8" s="29">
        <f>DATEDIF(C14,C17,"D")+1</f>
        <v>26</v>
      </c>
      <c r="E8" s="7" t="s">
        <v>49</v>
      </c>
      <c r="F8" s="30" t="s">
        <v>9</v>
      </c>
      <c r="G8" s="31" t="s">
        <v>50</v>
      </c>
      <c r="H8" s="109">
        <v>46034</v>
      </c>
      <c r="I8" s="22"/>
      <c r="O8" s="32"/>
      <c r="P8" s="33"/>
      <c r="Q8" s="34"/>
      <c r="R8" s="34"/>
      <c r="S8" s="28"/>
    </row>
    <row r="9" spans="2:20" ht="15" customHeight="1" x14ac:dyDescent="0.3">
      <c r="B9" s="18" t="s">
        <v>10</v>
      </c>
      <c r="C9" s="18"/>
      <c r="D9" s="35" t="s">
        <v>51</v>
      </c>
      <c r="E9" s="36"/>
      <c r="F9" s="30" t="s">
        <v>9</v>
      </c>
      <c r="G9" s="37" t="s">
        <v>7</v>
      </c>
      <c r="H9" s="37"/>
      <c r="I9" s="22"/>
      <c r="O9" s="26"/>
      <c r="P9" s="27"/>
      <c r="Q9" s="28"/>
      <c r="R9" s="28"/>
      <c r="S9" s="28"/>
    </row>
    <row r="10" spans="2:20" ht="15" customHeight="1" x14ac:dyDescent="0.3">
      <c r="B10" s="18" t="s">
        <v>11</v>
      </c>
      <c r="C10" s="18"/>
      <c r="D10" s="7" t="s">
        <v>52</v>
      </c>
      <c r="E10" s="6">
        <v>45</v>
      </c>
      <c r="F10" s="30" t="s">
        <v>9</v>
      </c>
      <c r="G10" s="37" t="s">
        <v>7</v>
      </c>
      <c r="H10" s="37"/>
      <c r="I10" s="22"/>
      <c r="L10" s="38" t="s">
        <v>12</v>
      </c>
      <c r="M10" s="39">
        <f>SUM(M14-M23)</f>
        <v>4500000</v>
      </c>
      <c r="P10" s="7"/>
    </row>
    <row r="11" spans="2:20" ht="15" customHeight="1" x14ac:dyDescent="0.3">
      <c r="B11" s="18" t="s">
        <v>13</v>
      </c>
      <c r="C11" s="18"/>
      <c r="D11" s="35" t="s">
        <v>53</v>
      </c>
      <c r="E11" s="36"/>
      <c r="F11" s="28"/>
      <c r="G11" s="7"/>
      <c r="H11" s="7"/>
      <c r="I11" s="7"/>
      <c r="L11" s="38"/>
      <c r="M11" s="39"/>
      <c r="P11" s="7"/>
    </row>
    <row r="12" spans="2:20" ht="14.4" customHeight="1" x14ac:dyDescent="0.3">
      <c r="B12" s="7"/>
      <c r="E12" s="40"/>
      <c r="F12" s="40"/>
      <c r="I12" s="41" t="s">
        <v>14</v>
      </c>
      <c r="J12" s="41"/>
      <c r="K12" s="42" t="str">
        <f>D11</f>
        <v>11MAY-45S-26D-TRID</v>
      </c>
      <c r="L12" s="42" t="str">
        <f>D9</f>
        <v>VFUQ8X</v>
      </c>
    </row>
    <row r="13" spans="2:20" s="5" customFormat="1" ht="32.1" customHeight="1" thickBot="1" x14ac:dyDescent="0.35">
      <c r="B13" s="43" t="s">
        <v>15</v>
      </c>
      <c r="C13" s="43" t="s">
        <v>16</v>
      </c>
      <c r="D13" s="43" t="s">
        <v>17</v>
      </c>
      <c r="E13" s="43" t="s">
        <v>18</v>
      </c>
      <c r="F13" s="43" t="s">
        <v>19</v>
      </c>
      <c r="G13" s="43" t="s">
        <v>20</v>
      </c>
      <c r="H13" s="43" t="s">
        <v>21</v>
      </c>
      <c r="I13" s="43" t="s">
        <v>22</v>
      </c>
      <c r="J13" s="43" t="s">
        <v>23</v>
      </c>
      <c r="K13" s="43" t="s">
        <v>24</v>
      </c>
      <c r="L13" s="43" t="s">
        <v>25</v>
      </c>
      <c r="M13" s="43" t="s">
        <v>26</v>
      </c>
      <c r="O13" s="110" t="s">
        <v>27</v>
      </c>
      <c r="P13" s="110" t="s">
        <v>28</v>
      </c>
      <c r="Q13" s="110" t="s">
        <v>54</v>
      </c>
      <c r="R13" s="110" t="s">
        <v>29</v>
      </c>
      <c r="S13" s="110" t="s">
        <v>28</v>
      </c>
      <c r="T13" s="110" t="s">
        <v>55</v>
      </c>
    </row>
    <row r="14" spans="2:20" ht="15" customHeight="1" thickTop="1" thickBot="1" x14ac:dyDescent="0.35">
      <c r="B14" s="44">
        <v>1</v>
      </c>
      <c r="C14" s="45">
        <v>46153</v>
      </c>
      <c r="D14" s="46" t="s">
        <v>30</v>
      </c>
      <c r="E14" s="46" t="s">
        <v>31</v>
      </c>
      <c r="F14" s="46" t="s">
        <v>32</v>
      </c>
      <c r="G14" s="45" t="s">
        <v>33</v>
      </c>
      <c r="H14" s="45" t="s">
        <v>7</v>
      </c>
      <c r="I14" s="45" t="s">
        <v>7</v>
      </c>
      <c r="J14" s="47">
        <v>45</v>
      </c>
      <c r="K14" s="48" t="s">
        <v>34</v>
      </c>
      <c r="L14" s="49">
        <v>10000000</v>
      </c>
      <c r="M14" s="50">
        <f>L14*J14</f>
        <v>450000000</v>
      </c>
    </row>
    <row r="15" spans="2:20" ht="15" customHeight="1" thickTop="1" x14ac:dyDescent="0.3">
      <c r="B15" s="44"/>
      <c r="C15" s="51">
        <v>46153</v>
      </c>
      <c r="D15" s="52" t="s">
        <v>35</v>
      </c>
      <c r="E15" s="52" t="s">
        <v>36</v>
      </c>
      <c r="F15" s="52" t="s">
        <v>37</v>
      </c>
      <c r="G15" s="53" t="s">
        <v>33</v>
      </c>
      <c r="H15" s="54">
        <v>46025</v>
      </c>
      <c r="I15" s="51">
        <v>46031</v>
      </c>
      <c r="J15" s="53">
        <v>45</v>
      </c>
      <c r="K15" s="55" t="s">
        <v>56</v>
      </c>
      <c r="L15" s="56">
        <f>-L14*20%</f>
        <v>-2000000</v>
      </c>
      <c r="M15" s="57">
        <f>L15*J15</f>
        <v>-90000000</v>
      </c>
      <c r="O15" s="111" t="s">
        <v>68</v>
      </c>
      <c r="P15" s="112" t="s">
        <v>7</v>
      </c>
      <c r="Q15" s="112" t="s">
        <v>7</v>
      </c>
      <c r="R15" s="112" t="s">
        <v>67</v>
      </c>
      <c r="S15" s="112" t="s">
        <v>57</v>
      </c>
      <c r="T15" s="127" t="s">
        <v>66</v>
      </c>
    </row>
    <row r="16" spans="2:20" ht="15" customHeight="1" x14ac:dyDescent="0.3">
      <c r="B16" s="44"/>
      <c r="C16" s="51">
        <v>46177</v>
      </c>
      <c r="D16" s="53" t="s">
        <v>38</v>
      </c>
      <c r="E16" s="53" t="s">
        <v>39</v>
      </c>
      <c r="F16" s="53" t="s">
        <v>40</v>
      </c>
      <c r="G16" s="58"/>
      <c r="H16" s="54">
        <v>46045</v>
      </c>
      <c r="I16" s="51" t="s">
        <v>7</v>
      </c>
      <c r="J16" s="53">
        <v>45</v>
      </c>
      <c r="K16" s="55" t="s">
        <v>58</v>
      </c>
      <c r="L16" s="56">
        <f>-L14*30%</f>
        <v>-3000000</v>
      </c>
      <c r="M16" s="57">
        <f>L16*J16</f>
        <v>-135000000</v>
      </c>
      <c r="O16" s="113" t="s">
        <v>7</v>
      </c>
      <c r="P16" s="53" t="s">
        <v>7</v>
      </c>
      <c r="Q16" s="53" t="s">
        <v>7</v>
      </c>
      <c r="R16" s="53" t="s">
        <v>7</v>
      </c>
      <c r="S16" s="55"/>
      <c r="T16" s="114"/>
    </row>
    <row r="17" spans="2:20" ht="15" customHeight="1" x14ac:dyDescent="0.3">
      <c r="B17" s="59"/>
      <c r="C17" s="51">
        <v>46178</v>
      </c>
      <c r="D17" s="53" t="s">
        <v>41</v>
      </c>
      <c r="E17" s="53" t="s">
        <v>42</v>
      </c>
      <c r="F17" s="53" t="s">
        <v>43</v>
      </c>
      <c r="G17" s="58"/>
      <c r="H17" s="54">
        <v>45753</v>
      </c>
      <c r="I17" s="51" t="s">
        <v>7</v>
      </c>
      <c r="J17" s="53">
        <v>45</v>
      </c>
      <c r="K17" s="55" t="s">
        <v>59</v>
      </c>
      <c r="L17" s="56">
        <f>-L14*50%</f>
        <v>-5000000</v>
      </c>
      <c r="M17" s="57">
        <f>L17*J17</f>
        <v>-225000000</v>
      </c>
      <c r="O17" s="113" t="s">
        <v>7</v>
      </c>
      <c r="P17" s="53" t="s">
        <v>7</v>
      </c>
      <c r="Q17" s="53" t="s">
        <v>7</v>
      </c>
      <c r="R17" s="53" t="s">
        <v>7</v>
      </c>
      <c r="S17" s="55"/>
      <c r="T17" s="114"/>
    </row>
    <row r="18" spans="2:20" ht="15" customHeight="1" thickBot="1" x14ac:dyDescent="0.35">
      <c r="B18" s="60"/>
      <c r="C18" s="61"/>
      <c r="D18" s="5"/>
      <c r="E18" s="5"/>
      <c r="F18" s="5"/>
      <c r="G18" s="58"/>
      <c r="H18" s="51"/>
      <c r="I18" s="51"/>
      <c r="J18" s="53"/>
      <c r="K18" s="62"/>
      <c r="L18" s="63"/>
      <c r="M18" s="64"/>
      <c r="O18" s="115"/>
      <c r="P18" s="116"/>
      <c r="Q18" s="116"/>
      <c r="R18" s="116"/>
      <c r="S18" s="62"/>
      <c r="T18" s="117"/>
    </row>
    <row r="19" spans="2:20" ht="15" customHeight="1" thickTop="1" thickBot="1" x14ac:dyDescent="0.35">
      <c r="G19" s="65"/>
      <c r="H19" s="65"/>
      <c r="I19" s="61"/>
      <c r="J19" s="66"/>
      <c r="K19" s="67" t="s">
        <v>44</v>
      </c>
      <c r="L19" s="68"/>
      <c r="M19" s="69">
        <f>SUM(M15:M18)</f>
        <v>-450000000</v>
      </c>
      <c r="O19" s="118"/>
      <c r="P19" s="118"/>
      <c r="Q19" s="118"/>
      <c r="R19" s="118"/>
      <c r="S19" s="119"/>
      <c r="T19" s="119"/>
    </row>
    <row r="20" spans="2:20" ht="15" customHeight="1" thickBot="1" x14ac:dyDescent="0.35">
      <c r="G20" s="65"/>
      <c r="H20" s="65"/>
      <c r="I20" s="61"/>
      <c r="K20" s="17"/>
      <c r="M20" s="70"/>
    </row>
    <row r="21" spans="2:20" ht="34.950000000000003" customHeight="1" thickBot="1" x14ac:dyDescent="0.35">
      <c r="G21" s="71" t="s">
        <v>20</v>
      </c>
      <c r="H21" s="71" t="s">
        <v>45</v>
      </c>
      <c r="I21" s="72" t="s">
        <v>22</v>
      </c>
      <c r="J21" s="71" t="s">
        <v>23</v>
      </c>
      <c r="K21" s="71" t="s">
        <v>24</v>
      </c>
      <c r="L21" s="71" t="s">
        <v>25</v>
      </c>
      <c r="M21" s="73" t="s">
        <v>26</v>
      </c>
      <c r="O21" s="120" t="s">
        <v>27</v>
      </c>
      <c r="P21" s="120" t="s">
        <v>28</v>
      </c>
      <c r="Q21" s="120" t="s">
        <v>54</v>
      </c>
      <c r="R21" s="120" t="s">
        <v>29</v>
      </c>
      <c r="S21" s="120" t="s">
        <v>28</v>
      </c>
      <c r="T21" s="120" t="s">
        <v>55</v>
      </c>
    </row>
    <row r="22" spans="2:20" ht="2.4" customHeight="1" x14ac:dyDescent="0.3">
      <c r="G22" s="65"/>
      <c r="H22" s="121"/>
      <c r="I22" s="61"/>
      <c r="M22" s="70"/>
    </row>
    <row r="23" spans="2:20" ht="15" customHeight="1" thickBot="1" x14ac:dyDescent="0.35">
      <c r="G23" s="74" t="s">
        <v>33</v>
      </c>
      <c r="H23" s="75"/>
      <c r="I23" s="76" t="s">
        <v>7</v>
      </c>
      <c r="J23" s="77">
        <v>45</v>
      </c>
      <c r="K23" s="78" t="s">
        <v>46</v>
      </c>
      <c r="L23" s="79">
        <v>9900000</v>
      </c>
      <c r="M23" s="79">
        <f>L23*J23</f>
        <v>445500000</v>
      </c>
      <c r="O23" s="122"/>
      <c r="P23" s="122"/>
      <c r="Q23" s="122"/>
      <c r="R23" s="122"/>
      <c r="S23" s="123"/>
      <c r="T23" s="123"/>
    </row>
    <row r="24" spans="2:20" ht="15" customHeight="1" x14ac:dyDescent="0.3">
      <c r="G24" s="81" t="str">
        <f>G8</f>
        <v>A125629</v>
      </c>
      <c r="H24" s="82">
        <v>46028</v>
      </c>
      <c r="I24" s="51">
        <f>H8</f>
        <v>46034</v>
      </c>
      <c r="J24" s="77">
        <v>45</v>
      </c>
      <c r="K24" s="83" t="s">
        <v>60</v>
      </c>
      <c r="L24" s="84">
        <f>-L23*20%</f>
        <v>-1980000</v>
      </c>
      <c r="M24" s="84">
        <f>L24*J24</f>
        <v>-89100000</v>
      </c>
      <c r="O24" s="124" t="s">
        <v>61</v>
      </c>
      <c r="P24" s="125" t="s">
        <v>62</v>
      </c>
      <c r="Q24" s="125">
        <v>94857698</v>
      </c>
      <c r="R24" s="125" t="s">
        <v>69</v>
      </c>
      <c r="S24" s="126" t="s">
        <v>63</v>
      </c>
      <c r="T24" s="127" t="s">
        <v>66</v>
      </c>
    </row>
    <row r="25" spans="2:20" ht="15" customHeight="1" x14ac:dyDescent="0.3">
      <c r="G25" s="85" t="str">
        <f>G9</f>
        <v>-</v>
      </c>
      <c r="H25" s="82">
        <v>46051</v>
      </c>
      <c r="I25" s="76" t="s">
        <v>7</v>
      </c>
      <c r="J25" s="77">
        <v>45</v>
      </c>
      <c r="K25" s="83" t="s">
        <v>64</v>
      </c>
      <c r="L25" s="84">
        <f>-L23*30%</f>
        <v>-2970000</v>
      </c>
      <c r="M25" s="84">
        <f>L25*J25</f>
        <v>-133650000</v>
      </c>
      <c r="O25" s="128" t="s">
        <v>7</v>
      </c>
      <c r="P25" s="80" t="s">
        <v>7</v>
      </c>
      <c r="Q25" s="80" t="s">
        <v>7</v>
      </c>
      <c r="R25" s="80" t="s">
        <v>7</v>
      </c>
      <c r="S25" s="129"/>
      <c r="T25" s="130"/>
    </row>
    <row r="26" spans="2:20" ht="15" customHeight="1" x14ac:dyDescent="0.3">
      <c r="G26" s="85"/>
      <c r="H26" s="82">
        <v>45758</v>
      </c>
      <c r="I26" s="86"/>
      <c r="J26" s="77">
        <v>45</v>
      </c>
      <c r="K26" s="83" t="s">
        <v>65</v>
      </c>
      <c r="L26" s="84">
        <f>-L23*50%</f>
        <v>-4950000</v>
      </c>
      <c r="M26" s="84">
        <f>L26*J26</f>
        <v>-222750000</v>
      </c>
      <c r="O26" s="128"/>
      <c r="P26" s="80"/>
      <c r="Q26" s="80"/>
      <c r="R26" s="80"/>
      <c r="S26" s="129"/>
      <c r="T26" s="130"/>
    </row>
    <row r="27" spans="2:20" ht="15" customHeight="1" thickBot="1" x14ac:dyDescent="0.35">
      <c r="G27" s="85"/>
      <c r="H27" s="75" t="s">
        <v>7</v>
      </c>
      <c r="I27" s="86"/>
      <c r="J27" s="77"/>
      <c r="K27" s="87" t="s">
        <v>7</v>
      </c>
      <c r="L27" s="87"/>
      <c r="M27" s="88"/>
      <c r="O27" s="131"/>
      <c r="P27" s="132"/>
      <c r="Q27" s="132"/>
      <c r="R27" s="132"/>
      <c r="S27" s="133"/>
      <c r="T27" s="134"/>
    </row>
    <row r="28" spans="2:20" ht="15" customHeight="1" thickTop="1" thickBot="1" x14ac:dyDescent="0.35">
      <c r="G28" s="89"/>
      <c r="I28" s="61"/>
      <c r="K28" s="90" t="s">
        <v>44</v>
      </c>
      <c r="L28" s="91"/>
      <c r="M28" s="92">
        <f>SUM(M24:M27)</f>
        <v>-445500000</v>
      </c>
      <c r="O28" s="135"/>
      <c r="P28" s="135"/>
      <c r="Q28" s="135"/>
      <c r="R28" s="135"/>
      <c r="S28" s="136"/>
      <c r="T28" s="136"/>
    </row>
    <row r="29" spans="2:20" ht="15" customHeight="1" thickBot="1" x14ac:dyDescent="0.35">
      <c r="K29" s="17"/>
      <c r="L29" s="17"/>
      <c r="M29" s="93"/>
    </row>
    <row r="30" spans="2:20" ht="15" customHeight="1" thickTop="1" x14ac:dyDescent="0.3">
      <c r="I30" s="94"/>
      <c r="J30" s="95">
        <v>45</v>
      </c>
      <c r="K30" s="96" t="s">
        <v>47</v>
      </c>
      <c r="L30" s="97">
        <f>L14-L23</f>
        <v>100000</v>
      </c>
      <c r="M30" s="98">
        <f>J30*L30</f>
        <v>4500000</v>
      </c>
      <c r="O30" s="137"/>
      <c r="P30" s="95"/>
      <c r="Q30" s="95"/>
      <c r="R30" s="95"/>
      <c r="S30" s="138"/>
      <c r="T30" s="139"/>
    </row>
    <row r="31" spans="2:20" ht="15" customHeight="1" x14ac:dyDescent="0.3">
      <c r="I31" s="99" t="s">
        <v>7</v>
      </c>
      <c r="J31" s="100">
        <v>45</v>
      </c>
      <c r="K31" s="101" t="s">
        <v>48</v>
      </c>
      <c r="L31" s="102">
        <v>0</v>
      </c>
      <c r="M31" s="103">
        <f>L31*J31</f>
        <v>0</v>
      </c>
      <c r="O31" s="140" t="s">
        <v>7</v>
      </c>
      <c r="P31" s="141" t="s">
        <v>7</v>
      </c>
      <c r="Q31" s="141" t="s">
        <v>7</v>
      </c>
      <c r="R31" s="141" t="s">
        <v>33</v>
      </c>
      <c r="S31" s="142"/>
      <c r="T31" s="143"/>
    </row>
    <row r="32" spans="2:20" ht="15" customHeight="1" thickBot="1" x14ac:dyDescent="0.35">
      <c r="I32" s="104"/>
      <c r="J32" s="105">
        <v>45</v>
      </c>
      <c r="K32" s="106" t="s">
        <v>44</v>
      </c>
      <c r="L32" s="107">
        <f>SUM(L30:L31)</f>
        <v>100000</v>
      </c>
      <c r="M32" s="108">
        <f>SUM(M30:M31)</f>
        <v>4500000</v>
      </c>
      <c r="O32" s="144"/>
      <c r="P32" s="105"/>
      <c r="Q32" s="105"/>
      <c r="R32" s="105"/>
      <c r="S32" s="145"/>
      <c r="T32" s="146"/>
    </row>
    <row r="33" ht="15" customHeight="1" thickTop="1" x14ac:dyDescent="0.3"/>
  </sheetData>
  <mergeCells count="21">
    <mergeCell ref="I12:J12"/>
    <mergeCell ref="B9:C9"/>
    <mergeCell ref="D9:E9"/>
    <mergeCell ref="O9:P9"/>
    <mergeCell ref="B10:C10"/>
    <mergeCell ref="B11:C11"/>
    <mergeCell ref="D11:E11"/>
    <mergeCell ref="B6:C6"/>
    <mergeCell ref="D6:E6"/>
    <mergeCell ref="B7:C7"/>
    <mergeCell ref="D7:E7"/>
    <mergeCell ref="O7:P7"/>
    <mergeCell ref="B8:C8"/>
    <mergeCell ref="O8:P8"/>
    <mergeCell ref="B5:C5"/>
    <mergeCell ref="D5:E5"/>
    <mergeCell ref="O5:P5"/>
    <mergeCell ref="B1:C1"/>
    <mergeCell ref="D1:F1"/>
    <mergeCell ref="B2:C2"/>
    <mergeCell ref="D2:F2"/>
  </mergeCells>
  <pageMargins left="0.25" right="0.25" top="0.25" bottom="0.2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TRID-HAJJ 1447H-2026M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 FD1777TU</dc:creator>
  <cp:lastModifiedBy>HP 14 FD1777TU</cp:lastModifiedBy>
  <dcterms:created xsi:type="dcterms:W3CDTF">2026-01-17T10:21:01Z</dcterms:created>
  <dcterms:modified xsi:type="dcterms:W3CDTF">2026-01-17T10:27:17Z</dcterms:modified>
</cp:coreProperties>
</file>