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C7BFD3CC-2447-48D4-BB2C-3A48092A7093}" xr6:coauthVersionLast="47" xr6:coauthVersionMax="47" xr10:uidLastSave="{00000000-0000-0000-0000-000000000000}"/>
  <bookViews>
    <workbookView xWindow="-108" yWindow="-108" windowWidth="23256" windowHeight="12456" xr2:uid="{946F9CB6-08C5-4DF9-9F45-D86E4AE62D5F}"/>
  </bookViews>
  <sheets>
    <sheet name="FRONT PAGE" sheetId="1" r:id="rId1"/>
    <sheet name="BOOKING REQUEST" sheetId="9" r:id="rId2"/>
    <sheet name="MOVEMENT" sheetId="3" r:id="rId3"/>
    <sheet name="PAYMENT REPORT" sheetId="4" r:id="rId4"/>
    <sheet name="INVOICE" sheetId="5" r:id="rId5"/>
    <sheet name="Payment advise" sheetId="6" r:id="rId6"/>
    <sheet name="RANGKUMAN" sheetId="7" r:id="rId7"/>
    <sheet name="TIME LIMIT" sheetId="8" r:id="rId8"/>
  </sheets>
  <definedNames>
    <definedName name="_xlnm._FilterDatabase" localSheetId="2" hidden="1">MOVEMENT!$A$2:$AP$22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8" i="9" l="1"/>
  <c r="AD8" i="9" s="1"/>
  <c r="AB7" i="9"/>
  <c r="AD7" i="9" s="1"/>
  <c r="AB6" i="9"/>
  <c r="AD6" i="9" s="1"/>
  <c r="AB5" i="9"/>
  <c r="AD5" i="9" s="1"/>
  <c r="D16" i="6" l="1"/>
  <c r="D18" i="6" s="1"/>
  <c r="D19" i="6" s="1"/>
  <c r="D20" i="6" s="1"/>
  <c r="I11" i="6"/>
  <c r="K10" i="6"/>
  <c r="K5" i="6"/>
  <c r="I28" i="5" l="1"/>
  <c r="J28" i="5" s="1"/>
  <c r="I27" i="5"/>
  <c r="J27" i="5" s="1"/>
  <c r="I26" i="5"/>
  <c r="J26" i="5" s="1"/>
  <c r="J25" i="5"/>
  <c r="J31" i="5" l="1"/>
  <c r="J30" i="5"/>
  <c r="L28" i="4" l="1"/>
  <c r="K27" i="4"/>
  <c r="L27" i="4" s="1"/>
  <c r="L29" i="4" s="1"/>
  <c r="K23" i="4"/>
  <c r="L23" i="4" s="1"/>
  <c r="G23" i="4"/>
  <c r="K22" i="4"/>
  <c r="L22" i="4" s="1"/>
  <c r="G22" i="4"/>
  <c r="L21" i="4"/>
  <c r="L25" i="4" s="1"/>
  <c r="L17" i="4"/>
  <c r="K13" i="4"/>
  <c r="L13" i="4" s="1"/>
  <c r="L12" i="4"/>
  <c r="L18" i="4" s="1"/>
  <c r="K10" i="4"/>
  <c r="J10" i="4"/>
  <c r="L8" i="4" l="1"/>
  <c r="K29" i="4"/>
  <c r="B6" i="3" l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V32" i="3"/>
  <c r="T32" i="3"/>
  <c r="AN30" i="3"/>
  <c r="AP30" i="3" s="1"/>
  <c r="S30" i="3" s="1"/>
  <c r="AN29" i="3"/>
  <c r="AP29" i="3" s="1"/>
  <c r="S29" i="3" s="1"/>
  <c r="AN28" i="3"/>
  <c r="AP28" i="3" s="1"/>
  <c r="S28" i="3" s="1"/>
  <c r="AN27" i="3"/>
  <c r="AP27" i="3" s="1"/>
  <c r="S27" i="3" s="1"/>
  <c r="AN22" i="3"/>
  <c r="AP22" i="3" s="1"/>
  <c r="Z22" i="3"/>
  <c r="W22" i="3"/>
  <c r="AN21" i="3"/>
  <c r="AP21" i="3" s="1"/>
  <c r="Z21" i="3"/>
  <c r="W21" i="3"/>
  <c r="AN20" i="3"/>
  <c r="AP20" i="3" s="1"/>
  <c r="S20" i="3" s="1"/>
  <c r="AC20" i="3"/>
  <c r="Z20" i="3"/>
  <c r="AN19" i="3"/>
  <c r="AP19" i="3" s="1"/>
  <c r="S19" i="3" s="1"/>
  <c r="AC19" i="3"/>
  <c r="Z19" i="3"/>
  <c r="AN18" i="3"/>
  <c r="AP18" i="3" s="1"/>
  <c r="S18" i="3" s="1"/>
  <c r="AC18" i="3"/>
  <c r="Z18" i="3"/>
  <c r="W18" i="3"/>
  <c r="AN17" i="3"/>
  <c r="AP17" i="3" s="1"/>
  <c r="S17" i="3" s="1"/>
  <c r="AG17" i="3"/>
  <c r="AE17" i="3"/>
  <c r="AC17" i="3"/>
  <c r="Z17" i="3"/>
  <c r="W17" i="3"/>
  <c r="AH17" i="3" s="1"/>
  <c r="X17" i="3"/>
  <c r="AI17" i="3" s="1"/>
  <c r="AN16" i="3"/>
  <c r="AP16" i="3" s="1"/>
  <c r="S16" i="3" s="1"/>
  <c r="AK16" i="3"/>
  <c r="AF16" i="3"/>
  <c r="AE16" i="3"/>
  <c r="X16" i="3"/>
  <c r="W16" i="3"/>
  <c r="AN15" i="3"/>
  <c r="AP15" i="3" s="1"/>
  <c r="S15" i="3" s="1"/>
  <c r="AK15" i="3"/>
  <c r="AF15" i="3"/>
  <c r="AE15" i="3"/>
  <c r="X15" i="3"/>
  <c r="W15" i="3"/>
  <c r="AN14" i="3"/>
  <c r="AP14" i="3" s="1"/>
  <c r="S14" i="3" s="1"/>
  <c r="AK14" i="3"/>
  <c r="X14" i="3"/>
  <c r="W14" i="3"/>
  <c r="AN13" i="3"/>
  <c r="AP13" i="3" s="1"/>
  <c r="S13" i="3" s="1"/>
  <c r="AK13" i="3"/>
  <c r="AG13" i="3"/>
  <c r="AF13" i="3"/>
  <c r="X13" i="3"/>
  <c r="AI13" i="3" s="1"/>
  <c r="W13" i="3"/>
  <c r="AH13" i="3" s="1"/>
  <c r="AN12" i="3"/>
  <c r="AP12" i="3" s="1"/>
  <c r="S12" i="3" s="1"/>
  <c r="AK12" i="3"/>
  <c r="X12" i="3"/>
  <c r="W12" i="3"/>
  <c r="AN11" i="3"/>
  <c r="AP11" i="3" s="1"/>
  <c r="AK11" i="3"/>
  <c r="AG11" i="3"/>
  <c r="X11" i="3"/>
  <c r="AI11" i="3" s="1"/>
  <c r="W11" i="3"/>
  <c r="AH11" i="3" s="1"/>
  <c r="AN10" i="3"/>
  <c r="AP10" i="3" s="1"/>
  <c r="S10" i="3" s="1"/>
  <c r="AK10" i="3"/>
  <c r="AN9" i="3"/>
  <c r="AP9" i="3" s="1"/>
  <c r="S9" i="3" s="1"/>
  <c r="AK9" i="3"/>
  <c r="AG9" i="3"/>
  <c r="AE9" i="3"/>
  <c r="AN8" i="3"/>
  <c r="AP8" i="3" s="1"/>
  <c r="S8" i="3" s="1"/>
  <c r="AK8" i="3"/>
  <c r="AG8" i="3"/>
  <c r="AE8" i="3"/>
  <c r="AF8" i="3" s="1"/>
  <c r="AC8" i="3"/>
  <c r="Z8" i="3"/>
  <c r="W8" i="3"/>
  <c r="AH8" i="3" s="1"/>
  <c r="X8" i="3"/>
  <c r="AI8" i="3" s="1"/>
  <c r="AN7" i="3"/>
  <c r="AP7" i="3" s="1"/>
  <c r="S7" i="3" s="1"/>
  <c r="AK7" i="3"/>
  <c r="AI7" i="3"/>
  <c r="AH7" i="3"/>
  <c r="AF7" i="3"/>
  <c r="Y7" i="3"/>
  <c r="X7" i="3"/>
  <c r="W7" i="3"/>
  <c r="AN6" i="3"/>
  <c r="AP6" i="3" s="1"/>
  <c r="S6" i="3" s="1"/>
  <c r="AK6" i="3"/>
  <c r="AI6" i="3"/>
  <c r="AH6" i="3"/>
  <c r="AF6" i="3"/>
  <c r="Y6" i="3"/>
  <c r="X6" i="3"/>
  <c r="W6" i="3"/>
  <c r="AN5" i="3"/>
  <c r="AP5" i="3" s="1"/>
  <c r="S5" i="3" s="1"/>
  <c r="AK5" i="3"/>
  <c r="AG5" i="3"/>
  <c r="AE5" i="3"/>
  <c r="X5" i="3"/>
  <c r="W5" i="3"/>
  <c r="AH5" i="3" s="1"/>
  <c r="AN4" i="3"/>
  <c r="AP4" i="3" s="1"/>
  <c r="S4" i="3" s="1"/>
  <c r="AK4" i="3"/>
  <c r="AI4" i="3"/>
  <c r="AG4" i="3"/>
  <c r="AE4" i="3"/>
  <c r="X4" i="3"/>
  <c r="W4" i="3"/>
  <c r="AH4" i="3" s="1"/>
  <c r="AN3" i="3"/>
  <c r="AP3" i="3" s="1"/>
  <c r="S3" i="3" s="1"/>
  <c r="AK3" i="3"/>
  <c r="X3" i="3"/>
  <c r="W3" i="3"/>
  <c r="B4" i="3"/>
  <c r="B5" i="3" s="1"/>
  <c r="A2" i="3"/>
  <c r="AB17" i="3" l="1"/>
  <c r="Y17" i="3"/>
  <c r="AB13" i="3"/>
  <c r="Y13" i="3"/>
  <c r="Y8" i="3"/>
  <c r="AB8" i="3"/>
</calcChain>
</file>

<file path=xl/sharedStrings.xml><?xml version="1.0" encoding="utf-8"?>
<sst xmlns="http://schemas.openxmlformats.org/spreadsheetml/2006/main" count="655" uniqueCount="340">
  <si>
    <t>MOVEMNET</t>
  </si>
  <si>
    <t>PAYMENT REPORT</t>
  </si>
  <si>
    <t>INVOICE</t>
  </si>
  <si>
    <t>NO</t>
  </si>
  <si>
    <t>Travel Agent</t>
  </si>
  <si>
    <t>Creation</t>
  </si>
  <si>
    <t>PNR</t>
  </si>
  <si>
    <t>DP1</t>
  </si>
  <si>
    <t>DP2</t>
  </si>
  <si>
    <t>FP</t>
  </si>
  <si>
    <t>TOIR CODE</t>
  </si>
  <si>
    <t>CARRIER</t>
  </si>
  <si>
    <t>Flight No</t>
  </si>
  <si>
    <t>Sector</t>
  </si>
  <si>
    <t>DEP.SEG-1</t>
  </si>
  <si>
    <t>DEP.SEG-2</t>
  </si>
  <si>
    <t>ARR. SEG-3</t>
  </si>
  <si>
    <t>ARR-SEG4</t>
  </si>
  <si>
    <t>PATTERN</t>
  </si>
  <si>
    <t>Passenger</t>
  </si>
  <si>
    <t>Approved Fare</t>
  </si>
  <si>
    <t>Selling</t>
  </si>
  <si>
    <t>NETT SELLING</t>
  </si>
  <si>
    <t>TOTAL SELLING</t>
  </si>
  <si>
    <t>1ST DEPOSIT-AIRLINES</t>
  </si>
  <si>
    <t>DATE OF 1ST DEPOSIT AIRLINES</t>
  </si>
  <si>
    <t>DATE OF 1ST DEPOSIT BSW</t>
  </si>
  <si>
    <t>2ND DEPOSIT-AIRLINES</t>
  </si>
  <si>
    <t>DATE OF 2ND DEPOSIT AIRLINES</t>
  </si>
  <si>
    <t>DATE OF 2ND DEPOSIT BSW</t>
  </si>
  <si>
    <t>DATE OF FULLPAY TO AIRLINES</t>
  </si>
  <si>
    <t>DATE OF FULLPAY TO BSW</t>
  </si>
  <si>
    <t>TIME LIMIT MANIFEST &amp; TICKETING-16 DAYS ERLIER</t>
  </si>
  <si>
    <t>AMOUNT NETT BALANCE PAY</t>
  </si>
  <si>
    <t>AMOUNT SELL BALANCE PAY</t>
  </si>
  <si>
    <t>TICKETING DONE</t>
  </si>
  <si>
    <t>BELONGING TO</t>
  </si>
  <si>
    <t>DURATION</t>
  </si>
  <si>
    <t>ADD-1 DAYS</t>
  </si>
  <si>
    <t>TTL DAYS</t>
  </si>
  <si>
    <t>TRID</t>
  </si>
  <si>
    <t>TR297</t>
  </si>
  <si>
    <t>SUB-SIN</t>
  </si>
  <si>
    <t>SIN-SUB</t>
  </si>
  <si>
    <t>TR266</t>
  </si>
  <si>
    <t>SCOOT - MES</t>
  </si>
  <si>
    <t>-</t>
  </si>
  <si>
    <t>XXXXXX</t>
  </si>
  <si>
    <t>XXXXXXXXX</t>
  </si>
  <si>
    <t>No Need Dpst</t>
  </si>
  <si>
    <t>XXXXX</t>
  </si>
  <si>
    <t>02AUG-15-12D-BICGK</t>
  </si>
  <si>
    <t>BICGK</t>
  </si>
  <si>
    <t>BI796</t>
  </si>
  <si>
    <t>SUBBWN</t>
  </si>
  <si>
    <t>BWN-SUB</t>
  </si>
  <si>
    <t>TR795</t>
  </si>
  <si>
    <t>NO NEED DPST</t>
  </si>
  <si>
    <t>FULLPAY</t>
  </si>
  <si>
    <t>NO NEED DPST2</t>
  </si>
  <si>
    <t>BI-CGK</t>
  </si>
  <si>
    <t>TBA</t>
  </si>
  <si>
    <t>NIL</t>
  </si>
  <si>
    <t>4AUG-80-12D-GASUB</t>
  </si>
  <si>
    <t>GASUB</t>
  </si>
  <si>
    <t>GA974</t>
  </si>
  <si>
    <t>SUB-JED</t>
  </si>
  <si>
    <t>MED-SUB</t>
  </si>
  <si>
    <t>GA973</t>
  </si>
  <si>
    <t>MEGANANDA</t>
  </si>
  <si>
    <t>11AUG-19-12D-GASUB</t>
  </si>
  <si>
    <t>EBAD WISATA</t>
  </si>
  <si>
    <t>NO AVAIL</t>
  </si>
  <si>
    <t>26AUG-40S-13D-BISUB</t>
  </si>
  <si>
    <t>SUBBI</t>
  </si>
  <si>
    <t>BWNSUB</t>
  </si>
  <si>
    <t>BI795</t>
  </si>
  <si>
    <t>ON 1ST DPST</t>
  </si>
  <si>
    <t>ON DPST 1ST</t>
  </si>
  <si>
    <t>ON DPST1ST</t>
  </si>
  <si>
    <t>SUB-BI</t>
  </si>
  <si>
    <t>A110864</t>
  </si>
  <si>
    <t>A116104</t>
  </si>
  <si>
    <t>30AUG-40-25D-TRID</t>
  </si>
  <si>
    <t>PAID</t>
  </si>
  <si>
    <t>02SEP-40-25D-QZ/D7</t>
  </si>
  <si>
    <t>QZ/D7</t>
  </si>
  <si>
    <t>QZ320</t>
  </si>
  <si>
    <t>SUB-KUL</t>
  </si>
  <si>
    <t>KUL-SUB</t>
  </si>
  <si>
    <t>D7/QZ</t>
  </si>
  <si>
    <t>RM3800</t>
  </si>
  <si>
    <t>RM70,490</t>
  </si>
  <si>
    <t>RM-332,310</t>
  </si>
  <si>
    <t>AA-KUL-IKHLAS</t>
  </si>
  <si>
    <t>02SEP-13-25D-QZ/D7</t>
  </si>
  <si>
    <t>13SEP-40-16D-GASUB</t>
  </si>
  <si>
    <t>JED-SUB</t>
  </si>
  <si>
    <t>GA975</t>
  </si>
  <si>
    <t>NO NEED 2ND DPST</t>
  </si>
  <si>
    <t>No NEED</t>
  </si>
  <si>
    <t>NO NEED</t>
  </si>
  <si>
    <t xml:space="preserve">BI795 </t>
  </si>
  <si>
    <t>BI CGK</t>
  </si>
  <si>
    <t>20 SEP-20-19D-BISUB</t>
  </si>
  <si>
    <t>TR262</t>
  </si>
  <si>
    <t>BOOK FEE-YES</t>
  </si>
  <si>
    <t>FULLPAID DONE</t>
  </si>
  <si>
    <t>13OCT-40-23D-QZ/D7</t>
  </si>
  <si>
    <t>QZ323</t>
  </si>
  <si>
    <t>16 DAYS BEFORE DEPARTURE</t>
  </si>
  <si>
    <t>AA-KUL</t>
  </si>
  <si>
    <t>13OCT-30-23D-QZ/D7</t>
  </si>
  <si>
    <t>TR265</t>
  </si>
  <si>
    <t>JTSUB</t>
  </si>
  <si>
    <t>JT106</t>
  </si>
  <si>
    <t>JT107</t>
  </si>
  <si>
    <t>A111357</t>
  </si>
  <si>
    <t>A124932</t>
  </si>
  <si>
    <t>3FEB-13-11D-TRID</t>
  </si>
  <si>
    <t> A117684</t>
  </si>
  <si>
    <t>A124933</t>
  </si>
  <si>
    <t>3FEB-02-11D-TRID</t>
  </si>
  <si>
    <t>A118351</t>
  </si>
  <si>
    <t>A124934</t>
  </si>
  <si>
    <t>3FEB-01-11D-TRID</t>
  </si>
  <si>
    <t>A120837</t>
  </si>
  <si>
    <t>A124935</t>
  </si>
  <si>
    <t>A125018</t>
  </si>
  <si>
    <t>5FEB-40-13D-TRID</t>
  </si>
  <si>
    <t>SUBJED</t>
  </si>
  <si>
    <t>JEDSUB</t>
  </si>
  <si>
    <t>22FEB-1S-30D-JT</t>
  </si>
  <si>
    <t>22FEB-2S-30D-JT</t>
  </si>
  <si>
    <t>SUTRA HIDAYAH</t>
  </si>
  <si>
    <t>ME822K</t>
  </si>
  <si>
    <t>10MAR-35-18D-TRID</t>
  </si>
  <si>
    <t>SUBSIN</t>
  </si>
  <si>
    <t>SINSUB</t>
  </si>
  <si>
    <t>REQUESt</t>
  </si>
  <si>
    <t>09MAY-45S-25D-TRID</t>
  </si>
  <si>
    <t>09MAY-65S-25D-SQTR</t>
  </si>
  <si>
    <t>SQTR</t>
  </si>
  <si>
    <t>SQ923</t>
  </si>
  <si>
    <t>SQ928</t>
  </si>
  <si>
    <t>11MAY-45S-25D-TRID</t>
  </si>
  <si>
    <t>18MAY-50S-26D-TRID</t>
  </si>
  <si>
    <t>AAAAA</t>
  </si>
  <si>
    <t>BBBBB</t>
  </si>
  <si>
    <t>CCCCC</t>
  </si>
  <si>
    <t>DDDD</t>
  </si>
  <si>
    <t>EEEE</t>
  </si>
  <si>
    <t>FFFFF</t>
  </si>
  <si>
    <t>GGGG</t>
  </si>
  <si>
    <t>HHHHH</t>
  </si>
  <si>
    <t>IIIIII</t>
  </si>
  <si>
    <t>JJJJJJ</t>
  </si>
  <si>
    <t>KKKKK</t>
  </si>
  <si>
    <t>LLLLLL</t>
  </si>
  <si>
    <t>MMMMM</t>
  </si>
  <si>
    <t>NNNNNN</t>
  </si>
  <si>
    <t>OOOOO</t>
  </si>
  <si>
    <t>PPPPP</t>
  </si>
  <si>
    <t>QQQQQ</t>
  </si>
  <si>
    <t>RRRRRRR</t>
  </si>
  <si>
    <t>SSSSSS</t>
  </si>
  <si>
    <t>TTTTT</t>
  </si>
  <si>
    <t>UUUU</t>
  </si>
  <si>
    <t>VVVV</t>
  </si>
  <si>
    <t>WWWW</t>
  </si>
  <si>
    <t>DATE OF 1ST DEPOSIT EEMW</t>
  </si>
  <si>
    <t>DATE OF 2ND DEPOSIT EEMW</t>
  </si>
  <si>
    <t>DATE OF FULLPAY TO EEMW</t>
  </si>
  <si>
    <t>UPDATED</t>
  </si>
  <si>
    <t xml:space="preserve">NAMA AGENT </t>
  </si>
  <si>
    <t>DATE OF REQUEST</t>
  </si>
  <si>
    <t>DATE OF CONFIMED</t>
  </si>
  <si>
    <t>PROGRAM</t>
  </si>
  <si>
    <t>18DAYS</t>
  </si>
  <si>
    <t>REF ID</t>
  </si>
  <si>
    <t>TOUR CODE</t>
  </si>
  <si>
    <t>SELISIH</t>
  </si>
  <si>
    <t>AUTHORIZED</t>
  </si>
  <si>
    <t>GRP DEP</t>
  </si>
  <si>
    <t>DATE DEP/ARR</t>
  </si>
  <si>
    <t>FLIGHT NO</t>
  </si>
  <si>
    <t>CITY</t>
  </si>
  <si>
    <t>TIME</t>
  </si>
  <si>
    <t>REFERENCE ID</t>
  </si>
  <si>
    <t>DATE OF PAYMENT</t>
  </si>
  <si>
    <t>TTL PAX</t>
  </si>
  <si>
    <t>REMARKS</t>
  </si>
  <si>
    <t>FARE PER-PAX</t>
  </si>
  <si>
    <t>DEBET</t>
  </si>
  <si>
    <t>FROM</t>
  </si>
  <si>
    <t>BANK ACCOUNT NAME</t>
  </si>
  <si>
    <t>TO</t>
  </si>
  <si>
    <t>SUB SIN</t>
  </si>
  <si>
    <t>0945 - 1315</t>
  </si>
  <si>
    <t>SELLING FARES</t>
  </si>
  <si>
    <t>TR596</t>
  </si>
  <si>
    <t>SIN JED</t>
  </si>
  <si>
    <t>1630 - 2135</t>
  </si>
  <si>
    <t>DEPOSIT.1</t>
  </si>
  <si>
    <t>MANDIRI</t>
  </si>
  <si>
    <t>MANDIRI PAHLAWAN</t>
  </si>
  <si>
    <t>TR597</t>
  </si>
  <si>
    <t>JED SIN</t>
  </si>
  <si>
    <t>2250 - 1245+1</t>
  </si>
  <si>
    <t xml:space="preserve">FULLPAY </t>
  </si>
  <si>
    <t>SIN SUB</t>
  </si>
  <si>
    <t>1715 - 1840</t>
  </si>
  <si>
    <t>BALANCE</t>
  </si>
  <si>
    <t>NETT FARES</t>
  </si>
  <si>
    <t>DEPOSIT 1 JAYARAYA</t>
  </si>
  <si>
    <t>FULL PAY TO JAYA RAYA</t>
  </si>
  <si>
    <t>INCENTIVE</t>
  </si>
  <si>
    <t>DISCOUNT</t>
  </si>
  <si>
    <t>135 4569 8766</t>
  </si>
  <si>
    <t>A123345</t>
  </si>
  <si>
    <t>JALAN JALAN HOLIDAYS</t>
  </si>
  <si>
    <t>SQTR-MES</t>
  </si>
  <si>
    <t>ACDFRG</t>
  </si>
  <si>
    <t>GHT3VT</t>
  </si>
  <si>
    <t>HGD5YY</t>
  </si>
  <si>
    <t xml:space="preserve">Attention to </t>
  </si>
  <si>
    <t>Juanda Business Center (JBC, Jl. Raya Bandara Juanda No.1 A8-A9</t>
  </si>
  <si>
    <t>Dusun Pager, Sawotratap, Kec. Gedangan, Kabupaten Sidoarjo,</t>
  </si>
  <si>
    <t>PROFORMA INVOICE</t>
  </si>
  <si>
    <t>REF : 11MAY- 45S-26D-TR</t>
  </si>
  <si>
    <t>DOT</t>
  </si>
  <si>
    <t>DESCRIPTION</t>
  </si>
  <si>
    <t>TOTAL PAX</t>
  </si>
  <si>
    <t>FARES</t>
  </si>
  <si>
    <t>AMOUNT IN IDR</t>
  </si>
  <si>
    <t>PNR : VFUQ8X</t>
  </si>
  <si>
    <t>Flight Information</t>
  </si>
  <si>
    <t>1035 1350</t>
  </si>
  <si>
    <t>SINJED</t>
  </si>
  <si>
    <t>1600 - 2100</t>
  </si>
  <si>
    <t>JEDSIN</t>
  </si>
  <si>
    <t>2150 -1235+1</t>
  </si>
  <si>
    <t>1725 -1835</t>
  </si>
  <si>
    <t>Fares</t>
  </si>
  <si>
    <t xml:space="preserve">Non Refundable Deposit-1st </t>
  </si>
  <si>
    <t>Non Refundable Deposit-2nd</t>
  </si>
  <si>
    <t>Non Refundable Fullpayment</t>
  </si>
  <si>
    <t>Total Payment</t>
  </si>
  <si>
    <t>Balance</t>
  </si>
  <si>
    <t>1. HARGA SEWAKTU WAKTU DAPAT BERUBAH TERGANTUNG PERUBAHAN TAX DAN NILAI KURS</t>
  </si>
  <si>
    <t>2. DEPOSIT/ FULLPAYMENT TIDAK DAPAT DIREFUND DAN TIDAK DAPAT DIALIHKAN</t>
  </si>
  <si>
    <t>3. MATERIALIZATION ADALAH 80% DARI SEATS YANG TELAH DIDEPOSITKAN</t>
  </si>
  <si>
    <t>4. KONFIRMATION MATERIALIZATION 35 HARI SEBELUM KEBERANGAKTAN</t>
  </si>
  <si>
    <t>5. SCHEDULES FLIGHT DETAILS AS ABOVE &amp; SUBJECT TO CHANGES</t>
  </si>
  <si>
    <t>6. TIME LIMIT</t>
  </si>
  <si>
    <t xml:space="preserve">     - DEPOSIT-1</t>
  </si>
  <si>
    <t xml:space="preserve">     - DEPOSIT-2</t>
  </si>
  <si>
    <t xml:space="preserve">     - FULLPAYMENT</t>
  </si>
  <si>
    <t xml:space="preserve">     - TICKETING</t>
  </si>
  <si>
    <t>Payment via bank transfer  to Bank account :</t>
  </si>
  <si>
    <t xml:space="preserve">MANDIRI CAPEM SIDOARJO PAHLAWAN </t>
  </si>
  <si>
    <t>PT ELANG EMAS MANDIRI INDONESIA</t>
  </si>
  <si>
    <t>ABDUL HARIS NIRA</t>
  </si>
  <si>
    <t>Account No : 141-00-0102110-4</t>
  </si>
  <si>
    <t>🏠 PT ELANG EMAS MANDIRI INDONESIA</t>
  </si>
  <si>
    <t>081-338-007-128</t>
  </si>
  <si>
    <t>IBU HJH …....</t>
  </si>
  <si>
    <t>PT JALAN JALAN HOLIDAY</t>
  </si>
  <si>
    <t>RANGKUMAN</t>
  </si>
  <si>
    <t>PAYMENT ADVISE</t>
  </si>
  <si>
    <t>AGENT NAME</t>
  </si>
  <si>
    <t>DATE OF TOP UP CREATED</t>
  </si>
  <si>
    <t>DATE CREATED</t>
  </si>
  <si>
    <t>REMARKS ON TOP UP</t>
  </si>
  <si>
    <t>DATE E-MAIL TO SCOOT</t>
  </si>
  <si>
    <t>EMAIL CONFIRMASI PAYMENt FROM SCOOT</t>
  </si>
  <si>
    <t>DATE BANK TRANSFERRED</t>
  </si>
  <si>
    <t>WE HAVE JUST MAKE A  BALANCE PAYMENT VIA BANK TRANSFER AS BELOW :</t>
  </si>
  <si>
    <t>REMARKS ON BANK TRANSFER</t>
  </si>
  <si>
    <t>GRP DEPART DATE</t>
  </si>
  <si>
    <t>TOTAL SEATS CONFIRMED</t>
  </si>
  <si>
    <t>COMPANY</t>
  </si>
  <si>
    <t>SCOOT PTE. LTD.</t>
  </si>
  <si>
    <t>APPROVED FARE</t>
  </si>
  <si>
    <t>ACCOUNT NO</t>
  </si>
  <si>
    <t>306-1009-1430</t>
  </si>
  <si>
    <t>TOTAL AMOUNT</t>
  </si>
  <si>
    <t>BANK NAME</t>
  </si>
  <si>
    <t>STANDARD CHARTERED BANK</t>
  </si>
  <si>
    <t>DEPOSIT1st &amp; 2nd (20%)</t>
  </si>
  <si>
    <t>ADDRESS</t>
  </si>
  <si>
    <t>JAKARTA</t>
  </si>
  <si>
    <t>BALANCE PAYMENT AMOUNT (80%)</t>
  </si>
  <si>
    <t>TOP UP AMOUNT</t>
  </si>
  <si>
    <t xml:space="preserve">NAME </t>
  </si>
  <si>
    <t>TRANSFER AMOUNT</t>
  </si>
  <si>
    <t>ACCOUNT</t>
  </si>
  <si>
    <t>141 0002525020</t>
  </si>
  <si>
    <t>REFERENCE NUMBER</t>
  </si>
  <si>
    <t xml:space="preserve">BANK NAME </t>
  </si>
  <si>
    <t>Bank Slip Transfer approval is attached</t>
  </si>
  <si>
    <t>TOTAL SEATS USED ( 80%)</t>
  </si>
  <si>
    <t>PT JALAN JALAN</t>
  </si>
  <si>
    <t>TRV12JT</t>
  </si>
  <si>
    <t>AID2300044 -Balance Payment GRP- PNR-TRV12JT, DEP-04 FEB'26 -32 SEAT-13 DAYS -TRID - AMOUNT IDR217,000,000</t>
  </si>
  <si>
    <t xml:space="preserve"> - FP- GRP 04 FEB '26 -TRV12JT -32S-13D</t>
  </si>
  <si>
    <t>BY CLIK EACH AGENT</t>
  </si>
  <si>
    <t>TIME LIMIT WILL BE ADVISE</t>
  </si>
  <si>
    <t>BOOKING REQUEST</t>
  </si>
  <si>
    <t>NEW Demand : UMRAH GROUP REQUESTED PART01- updated 27 MAY' 25</t>
  </si>
  <si>
    <t>Agent Name</t>
  </si>
  <si>
    <t>Skyagent ID</t>
  </si>
  <si>
    <t>FLT_DATE1</t>
  </si>
  <si>
    <t>FLT_NO1</t>
  </si>
  <si>
    <t>SECTOR1</t>
  </si>
  <si>
    <t>FLT_DATE2</t>
  </si>
  <si>
    <t>FLT_NO2</t>
  </si>
  <si>
    <t>SECTOR2</t>
  </si>
  <si>
    <t>FLT_DATE3</t>
  </si>
  <si>
    <t>FLT_NO3</t>
  </si>
  <si>
    <t>SECTOR3</t>
  </si>
  <si>
    <t>FLT_DATE4</t>
  </si>
  <si>
    <t>FLT_NO4</t>
  </si>
  <si>
    <t>SECTOR4</t>
  </si>
  <si>
    <t>Group Size</t>
  </si>
  <si>
    <t>TCP</t>
  </si>
  <si>
    <t>GP approved fares</t>
  </si>
  <si>
    <t>NETT FARE</t>
  </si>
  <si>
    <t>ADD 1</t>
  </si>
  <si>
    <t>SIN-JED</t>
  </si>
  <si>
    <t>JED-SIN</t>
  </si>
  <si>
    <t>CORPORATE NAME</t>
  </si>
  <si>
    <t>JALAN JALAN HOLIDAY</t>
  </si>
  <si>
    <t>PT ELANG EMAS WISATA</t>
  </si>
  <si>
    <t>AID2546210</t>
  </si>
  <si>
    <t>data ini harus bisa didown load ke dokumnet excel format dan bis adiemail</t>
  </si>
  <si>
    <t>HAJJI MOVEMENT - 2024-2025</t>
  </si>
  <si>
    <t>TIME LIMIT</t>
  </si>
  <si>
    <t>remidn 3 days before</t>
  </si>
  <si>
    <t>DISCOUNT'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</si>
</sst>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2" formatCode="_-&quot;Rp&quot;* #,##0_-;\-&quot;Rp&quot;* #,##0_-;_-&quot;Rp&quot;* &quot;-&quot;_-;_-@_-"/>
    <numFmt numFmtId="164" formatCode="[$-14809]d\ mmm\ yyyy;@"/>
    <numFmt numFmtId="165" formatCode="[$-13809]dddd\,\ dd\ mmmm\ yyyy;@"/>
    <numFmt numFmtId="166" formatCode="[$RM-43E]#,##0;[Red]\-[$RM-43E]#,##0"/>
    <numFmt numFmtId="167" formatCode="@\ * &quot;:&quot;\ "/>
    <numFmt numFmtId="168" formatCode="[$-409]d\-mmm\-yy;@"/>
    <numFmt numFmtId="169" formatCode="_(\R\p* #,##0_);_(\R\p* \(#,##0\);_(\R\p* &quot;-&quot;_);_(@_)"/>
    <numFmt numFmtId="170" formatCode="[$-14809]ddd\,\ d\ mmm\ yyyy;@"/>
    <numFmt numFmtId="171" formatCode="&quot;$&quot;#,##0.00"/>
    <numFmt numFmtId="172" formatCode="@\ * &quot;:&quot;"/>
    <numFmt numFmtId="173" formatCode="[$IDR]\ #,##0_);[Red]\([$IDR]\ #,##0\)"/>
  </numFmts>
  <fonts count="6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CC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222222"/>
      <name val="Calibri"/>
      <family val="2"/>
      <scheme val="minor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sz val="11"/>
      <color theme="5" tint="-0.249977111117893"/>
      <name val="Calibri"/>
      <family val="2"/>
      <scheme val="minor"/>
    </font>
    <font>
      <sz val="20"/>
      <color theme="1"/>
      <name val="Calibri"/>
      <family val="2"/>
      <scheme val="minor"/>
    </font>
    <font>
      <sz val="10"/>
      <color theme="1"/>
      <name val="Arial Narrow"/>
      <family val="2"/>
    </font>
    <font>
      <b/>
      <sz val="10"/>
      <color rgb="FF000099"/>
      <name val="Arial Narrow"/>
      <family val="2"/>
    </font>
    <font>
      <sz val="10"/>
      <color rgb="FF000099"/>
      <name val="Arial Narrow"/>
      <family val="2"/>
    </font>
    <font>
      <b/>
      <sz val="10"/>
      <color rgb="FF0000FF"/>
      <name val="Arial Narrow"/>
      <family val="2"/>
    </font>
    <font>
      <sz val="11"/>
      <color theme="1"/>
      <name val="Calibri"/>
      <charset val="134"/>
      <scheme val="minor"/>
    </font>
    <font>
      <sz val="10"/>
      <color rgb="FFC00000"/>
      <name val="Arial Narrow"/>
      <family val="2"/>
    </font>
    <font>
      <b/>
      <sz val="10"/>
      <color theme="0"/>
      <name val="Arial Narrow"/>
      <family val="2"/>
    </font>
    <font>
      <sz val="11"/>
      <color theme="1"/>
      <name val="Arial Narrow"/>
      <family val="2"/>
    </font>
    <font>
      <sz val="10"/>
      <name val="Arial Narrow"/>
      <family val="2"/>
    </font>
    <font>
      <b/>
      <sz val="10"/>
      <color rgb="FFFF0000"/>
      <name val="Arial Narrow"/>
      <family val="2"/>
    </font>
    <font>
      <sz val="10"/>
      <color rgb="FF0070C0"/>
      <name val="Arial Narrow"/>
      <family val="2"/>
    </font>
    <font>
      <sz val="10"/>
      <color rgb="FFFF0000"/>
      <name val="Arial Narrow"/>
      <family val="2"/>
    </font>
    <font>
      <b/>
      <sz val="11"/>
      <color theme="1"/>
      <name val="Arial Narrow"/>
      <family val="2"/>
    </font>
    <font>
      <b/>
      <u/>
      <sz val="11"/>
      <color theme="1"/>
      <name val="Arial Narrow"/>
      <family val="2"/>
    </font>
    <font>
      <b/>
      <i/>
      <sz val="10"/>
      <color theme="1"/>
      <name val="Arial Narrow"/>
      <family val="2"/>
    </font>
    <font>
      <i/>
      <sz val="10"/>
      <color theme="1"/>
      <name val="Arial Narrow"/>
      <family val="2"/>
    </font>
    <font>
      <i/>
      <sz val="11"/>
      <color theme="1"/>
      <name val="Arial Narrow"/>
      <family val="2"/>
    </font>
    <font>
      <sz val="10"/>
      <name val="Arial"/>
      <family val="2"/>
    </font>
    <font>
      <sz val="11"/>
      <name val="Arial Narrow"/>
      <family val="2"/>
    </font>
    <font>
      <b/>
      <i/>
      <sz val="11"/>
      <color rgb="FF0000CC"/>
      <name val="Arial Narrow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1"/>
      <color theme="5" tint="-0.249977111117893"/>
      <name val="Arial"/>
      <family val="2"/>
    </font>
    <font>
      <sz val="12"/>
      <color theme="5" tint="-0.249977111117893"/>
      <name val="Arial Narrow"/>
      <family val="2"/>
    </font>
    <font>
      <sz val="8"/>
      <color rgb="FF002060"/>
      <name val="Arial"/>
      <family val="2"/>
    </font>
    <font>
      <sz val="8"/>
      <color rgb="FF002060"/>
      <name val="Calibri"/>
      <family val="2"/>
      <scheme val="minor"/>
    </font>
    <font>
      <sz val="12"/>
      <color rgb="FF002060"/>
      <name val="Arial Narrow"/>
      <family val="2"/>
    </font>
    <font>
      <sz val="8"/>
      <color rgb="FF0033CC"/>
      <name val="Arial"/>
      <family val="2"/>
    </font>
    <font>
      <sz val="8"/>
      <color rgb="FF002060"/>
      <name val="Arial Narrow"/>
      <family val="2"/>
    </font>
    <font>
      <sz val="11"/>
      <color rgb="FF0033CC"/>
      <name val="Calibri"/>
      <family val="2"/>
      <scheme val="minor"/>
    </font>
    <font>
      <sz val="10"/>
      <color theme="5" tint="-0.249977111117893"/>
      <name val="Arial"/>
      <family val="2"/>
    </font>
    <font>
      <sz val="10"/>
      <color rgb="FF0000FF"/>
      <name val="Calibri"/>
      <family val="2"/>
      <scheme val="minor"/>
    </font>
    <font>
      <sz val="12"/>
      <color rgb="FF0000FF"/>
      <name val="Calibri"/>
      <family val="2"/>
      <scheme val="minor"/>
    </font>
    <font>
      <sz val="10"/>
      <color rgb="FF002060"/>
      <name val="Arial Narrow"/>
      <family val="2"/>
    </font>
    <font>
      <b/>
      <sz val="10"/>
      <name val="Arial"/>
      <family val="2"/>
    </font>
    <font>
      <b/>
      <sz val="10"/>
      <color rgb="FF0000FF"/>
      <name val="Arial"/>
      <family val="2"/>
    </font>
    <font>
      <b/>
      <sz val="11"/>
      <color rgb="FF0033CC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  <font>
      <sz val="14"/>
      <color rgb="FF1F1F1F"/>
      <name val="Roboto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color rgb="FFFF0000"/>
      <name val="Calibri"/>
      <family val="2"/>
    </font>
    <font>
      <b/>
      <sz val="12"/>
      <color rgb="FFFF0000"/>
      <name val="Arial Narrow"/>
      <family val="2"/>
    </font>
    <font>
      <sz val="12"/>
      <color rgb="FF000000"/>
      <name val="Calibri"/>
      <family val="2"/>
    </font>
    <font>
      <sz val="12"/>
      <color rgb="FFFF0000"/>
      <name val="Arial Narrow"/>
      <family val="2"/>
    </font>
    <font>
      <sz val="16"/>
      <color rgb="FF0000CC"/>
      <name val="Calibri"/>
      <family val="2"/>
    </font>
    <font>
      <b/>
      <sz val="11"/>
      <color theme="1"/>
      <name val="Felix Titling"/>
      <family val="5"/>
    </font>
  </fonts>
  <fills count="3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 style="medium">
        <color rgb="FFFF0000"/>
      </right>
      <top/>
      <bottom style="thin">
        <color rgb="FFFF0000"/>
      </bottom>
      <diagonal/>
    </border>
    <border>
      <left/>
      <right/>
      <top style="thin">
        <color rgb="FFFF0000"/>
      </top>
      <bottom/>
      <diagonal/>
    </border>
    <border>
      <left style="thin">
        <color auto="1"/>
      </left>
      <right style="thin">
        <color auto="1"/>
      </right>
      <top/>
      <bottom style="medium">
        <color rgb="FFFF0000"/>
      </bottom>
      <diagonal/>
    </border>
    <border>
      <left style="thin">
        <color auto="1"/>
      </left>
      <right style="medium">
        <color rgb="FFFF0000"/>
      </right>
      <top/>
      <bottom style="medium">
        <color rgb="FFFF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/>
      <top/>
      <bottom style="thick">
        <color theme="5" tint="-0.24994659260841701"/>
      </bottom>
      <diagonal/>
    </border>
    <border>
      <left/>
      <right/>
      <top/>
      <bottom style="thin">
        <color theme="5" tint="-0.24994659260841701"/>
      </bottom>
      <diagonal/>
    </border>
    <border>
      <left/>
      <right/>
      <top style="thin">
        <color theme="5" tint="-0.24994659260841701"/>
      </top>
      <bottom style="thick">
        <color theme="5" tint="-0.24994659260841701"/>
      </bottom>
      <diagonal/>
    </border>
    <border>
      <left/>
      <right/>
      <top style="thick">
        <color theme="5" tint="-0.24994659260841701"/>
      </top>
      <bottom/>
      <diagonal/>
    </border>
    <border>
      <left/>
      <right/>
      <top style="medium">
        <color theme="5" tint="-0.24994659260841701"/>
      </top>
      <bottom/>
      <diagonal/>
    </border>
    <border>
      <left/>
      <right/>
      <top/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9">
    <xf numFmtId="0" fontId="0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20" fillId="0" borderId="0"/>
    <xf numFmtId="0" fontId="33" fillId="0" borderId="0"/>
    <xf numFmtId="0" fontId="1" fillId="0" borderId="0"/>
    <xf numFmtId="0" fontId="54" fillId="0" borderId="0" applyNumberFormat="0" applyFill="0" applyBorder="0" applyAlignment="0" applyProtection="0"/>
  </cellStyleXfs>
  <cellXfs count="400">
    <xf numFmtId="0" fontId="0" fillId="0" borderId="0" xfId="0"/>
    <xf numFmtId="164" fontId="3" fillId="2" borderId="1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3" fontId="5" fillId="0" borderId="2" xfId="0" applyNumberFormat="1" applyFont="1" applyBorder="1" applyAlignment="1">
      <alignment horizontal="center" vertical="center" wrapText="1"/>
    </xf>
    <xf numFmtId="3" fontId="6" fillId="0" borderId="2" xfId="0" applyNumberFormat="1" applyFont="1" applyBorder="1" applyAlignment="1">
      <alignment horizontal="center" vertical="center" wrapText="1"/>
    </xf>
    <xf numFmtId="164" fontId="6" fillId="7" borderId="2" xfId="0" applyNumberFormat="1" applyFont="1" applyFill="1" applyBorder="1" applyAlignment="1">
      <alignment horizontal="center" vertical="center" wrapText="1"/>
    </xf>
    <xf numFmtId="164" fontId="6" fillId="8" borderId="2" xfId="0" applyNumberFormat="1" applyFont="1" applyFill="1" applyBorder="1" applyAlignment="1">
      <alignment horizontal="center" vertical="center" wrapText="1"/>
    </xf>
    <xf numFmtId="164" fontId="6" fillId="9" borderId="2" xfId="0" applyNumberFormat="1" applyFont="1" applyFill="1" applyBorder="1" applyAlignment="1">
      <alignment horizontal="center" vertical="center" wrapText="1"/>
    </xf>
    <xf numFmtId="164" fontId="6" fillId="8" borderId="3" xfId="0" applyNumberFormat="1" applyFont="1" applyFill="1" applyBorder="1" applyAlignment="1">
      <alignment horizontal="center" vertical="center" wrapText="1"/>
    </xf>
    <xf numFmtId="3" fontId="6" fillId="10" borderId="2" xfId="0" applyNumberFormat="1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3" fontId="5" fillId="11" borderId="2" xfId="0" applyNumberFormat="1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15" fontId="5" fillId="0" borderId="6" xfId="0" applyNumberFormat="1" applyFont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16" fontId="4" fillId="0" borderId="6" xfId="0" applyNumberFormat="1" applyFont="1" applyBorder="1" applyAlignment="1">
      <alignment horizontal="center" vertical="center"/>
    </xf>
    <xf numFmtId="16" fontId="4" fillId="0" borderId="7" xfId="0" applyNumberFormat="1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15" fontId="5" fillId="5" borderId="6" xfId="0" applyNumberFormat="1" applyFont="1" applyFill="1" applyBorder="1" applyAlignment="1">
      <alignment horizontal="center" vertical="center"/>
    </xf>
    <xf numFmtId="15" fontId="4" fillId="3" borderId="6" xfId="0" applyNumberFormat="1" applyFont="1" applyFill="1" applyBorder="1" applyAlignment="1">
      <alignment horizontal="center" vertical="center"/>
    </xf>
    <xf numFmtId="15" fontId="4" fillId="5" borderId="6" xfId="0" applyNumberFormat="1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3" fontId="5" fillId="3" borderId="6" xfId="0" applyNumberFormat="1" applyFont="1" applyFill="1" applyBorder="1" applyAlignment="1">
      <alignment horizontal="center" vertical="center"/>
    </xf>
    <xf numFmtId="3" fontId="5" fillId="13" borderId="6" xfId="0" applyNumberFormat="1" applyFont="1" applyFill="1" applyBorder="1" applyAlignment="1">
      <alignment horizontal="center" vertical="center"/>
    </xf>
    <xf numFmtId="3" fontId="5" fillId="0" borderId="6" xfId="0" applyNumberFormat="1" applyFont="1" applyBorder="1" applyAlignment="1">
      <alignment horizontal="center" vertical="center"/>
    </xf>
    <xf numFmtId="164" fontId="5" fillId="7" borderId="6" xfId="0" applyNumberFormat="1" applyFont="1" applyFill="1" applyBorder="1" applyAlignment="1">
      <alignment horizontal="center" vertical="center"/>
    </xf>
    <xf numFmtId="164" fontId="5" fillId="8" borderId="6" xfId="0" applyNumberFormat="1" applyFont="1" applyFill="1" applyBorder="1" applyAlignment="1">
      <alignment horizontal="center" vertical="center"/>
    </xf>
    <xf numFmtId="164" fontId="5" fillId="8" borderId="8" xfId="0" applyNumberFormat="1" applyFont="1" applyFill="1" applyBorder="1" applyAlignment="1">
      <alignment horizontal="center" vertical="center"/>
    </xf>
    <xf numFmtId="164" fontId="5" fillId="9" borderId="8" xfId="0" applyNumberFormat="1" applyFont="1" applyFill="1" applyBorder="1" applyAlignment="1">
      <alignment horizontal="center" vertical="center"/>
    </xf>
    <xf numFmtId="165" fontId="0" fillId="8" borderId="8" xfId="0" applyNumberFormat="1" applyFill="1" applyBorder="1" applyAlignment="1">
      <alignment horizontal="left" vertical="center"/>
    </xf>
    <xf numFmtId="3" fontId="5" fillId="10" borderId="1" xfId="0" applyNumberFormat="1" applyFont="1" applyFill="1" applyBorder="1" applyAlignment="1">
      <alignment horizontal="center" vertical="center"/>
    </xf>
    <xf numFmtId="164" fontId="5" fillId="14" borderId="1" xfId="0" applyNumberFormat="1" applyFont="1" applyFill="1" applyBorder="1" applyAlignment="1">
      <alignment horizontal="center" vertical="center"/>
    </xf>
    <xf numFmtId="0" fontId="0" fillId="2" borderId="10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5" fontId="5" fillId="0" borderId="1" xfId="0" applyNumberFormat="1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5" fontId="5" fillId="5" borderId="1" xfId="0" applyNumberFormat="1" applyFont="1" applyFill="1" applyBorder="1" applyAlignment="1">
      <alignment horizontal="center" vertical="center"/>
    </xf>
    <xf numFmtId="15" fontId="4" fillId="3" borderId="1" xfId="0" applyNumberFormat="1" applyFont="1" applyFill="1" applyBorder="1" applyAlignment="1">
      <alignment horizontal="center" vertical="center"/>
    </xf>
    <xf numFmtId="15" fontId="4" fillId="5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center" vertical="center"/>
    </xf>
    <xf numFmtId="3" fontId="5" fillId="3" borderId="1" xfId="0" applyNumberFormat="1" applyFont="1" applyFill="1" applyBorder="1" applyAlignment="1">
      <alignment horizontal="center" vertical="center"/>
    </xf>
    <xf numFmtId="3" fontId="5" fillId="0" borderId="10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164" fontId="5" fillId="7" borderId="1" xfId="0" applyNumberFormat="1" applyFont="1" applyFill="1" applyBorder="1" applyAlignment="1">
      <alignment horizontal="center" vertical="center"/>
    </xf>
    <xf numFmtId="164" fontId="5" fillId="8" borderId="1" xfId="0" applyNumberFormat="1" applyFont="1" applyFill="1" applyBorder="1" applyAlignment="1">
      <alignment horizontal="center" vertical="center"/>
    </xf>
    <xf numFmtId="164" fontId="5" fillId="9" borderId="1" xfId="0" applyNumberFormat="1" applyFont="1" applyFill="1" applyBorder="1" applyAlignment="1">
      <alignment horizontal="center" vertical="center"/>
    </xf>
    <xf numFmtId="165" fontId="0" fillId="10" borderId="11" xfId="0" applyNumberFormat="1" applyFill="1" applyBorder="1" applyAlignment="1">
      <alignment horizontal="left" vertical="center"/>
    </xf>
    <xf numFmtId="165" fontId="0" fillId="8" borderId="1" xfId="0" applyNumberFormat="1" applyFill="1" applyBorder="1" applyAlignment="1">
      <alignment horizontal="left" vertical="center"/>
    </xf>
    <xf numFmtId="0" fontId="5" fillId="12" borderId="1" xfId="0" applyFont="1" applyFill="1" applyBorder="1" applyAlignment="1">
      <alignment horizontal="center" vertical="center"/>
    </xf>
    <xf numFmtId="164" fontId="5" fillId="8" borderId="12" xfId="0" applyNumberFormat="1" applyFont="1" applyFill="1" applyBorder="1" applyAlignment="1">
      <alignment horizontal="center" vertical="center"/>
    </xf>
    <xf numFmtId="164" fontId="5" fillId="9" borderId="12" xfId="0" applyNumberFormat="1" applyFont="1" applyFill="1" applyBorder="1" applyAlignment="1">
      <alignment horizontal="center" vertical="center"/>
    </xf>
    <xf numFmtId="3" fontId="5" fillId="10" borderId="12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64" fontId="3" fillId="15" borderId="1" xfId="0" applyNumberFormat="1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9" fillId="4" borderId="1" xfId="1" applyFont="1" applyFill="1" applyBorder="1" applyAlignment="1">
      <alignment horizontal="center" vertical="center"/>
    </xf>
    <xf numFmtId="15" fontId="10" fillId="0" borderId="1" xfId="1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/>
    <xf numFmtId="15" fontId="4" fillId="14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3" borderId="1" xfId="1" applyFont="1" applyFill="1" applyBorder="1" applyAlignment="1">
      <alignment horizontal="center" vertical="center"/>
    </xf>
    <xf numFmtId="15" fontId="10" fillId="5" borderId="1" xfId="1" applyNumberFormat="1" applyFont="1" applyFill="1" applyBorder="1" applyAlignment="1">
      <alignment horizontal="center" vertical="center"/>
    </xf>
    <xf numFmtId="15" fontId="9" fillId="3" borderId="1" xfId="1" applyNumberFormat="1" applyFont="1" applyFill="1" applyBorder="1" applyAlignment="1">
      <alignment horizontal="center" vertical="center"/>
    </xf>
    <xf numFmtId="15" fontId="9" fillId="5" borderId="1" xfId="1" applyNumberFormat="1" applyFont="1" applyFill="1" applyBorder="1" applyAlignment="1">
      <alignment horizontal="center" vertical="center"/>
    </xf>
    <xf numFmtId="0" fontId="10" fillId="3" borderId="1" xfId="1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10" fillId="4" borderId="1" xfId="1" applyFont="1" applyFill="1" applyBorder="1" applyAlignment="1">
      <alignment horizontal="center" vertical="center"/>
    </xf>
    <xf numFmtId="3" fontId="10" fillId="4" borderId="1" xfId="1" applyNumberFormat="1" applyFont="1" applyFill="1" applyBorder="1" applyAlignment="1">
      <alignment horizontal="center" vertical="center"/>
    </xf>
    <xf numFmtId="3" fontId="10" fillId="0" borderId="1" xfId="1" applyNumberFormat="1" applyFont="1" applyBorder="1" applyAlignment="1">
      <alignment horizontal="center" vertical="center"/>
    </xf>
    <xf numFmtId="164" fontId="10" fillId="7" borderId="1" xfId="1" applyNumberFormat="1" applyFont="1" applyFill="1" applyBorder="1" applyAlignment="1">
      <alignment horizontal="center" vertical="center"/>
    </xf>
    <xf numFmtId="165" fontId="0" fillId="10" borderId="1" xfId="0" applyNumberFormat="1" applyFill="1" applyBorder="1" applyAlignment="1">
      <alignment horizontal="left" vertical="center"/>
    </xf>
    <xf numFmtId="3" fontId="4" fillId="10" borderId="1" xfId="0" applyNumberFormat="1" applyFont="1" applyFill="1" applyBorder="1" applyAlignment="1">
      <alignment horizontal="center" vertical="center"/>
    </xf>
    <xf numFmtId="0" fontId="0" fillId="0" borderId="1" xfId="0" applyBorder="1"/>
    <xf numFmtId="16" fontId="4" fillId="2" borderId="1" xfId="0" applyNumberFormat="1" applyFont="1" applyFill="1" applyBorder="1" applyAlignment="1">
      <alignment horizontal="center" vertical="center"/>
    </xf>
    <xf numFmtId="16" fontId="5" fillId="12" borderId="1" xfId="0" applyNumberFormat="1" applyFont="1" applyFill="1" applyBorder="1" applyAlignment="1">
      <alignment horizontal="center" vertical="center"/>
    </xf>
    <xf numFmtId="164" fontId="5" fillId="14" borderId="1" xfId="0" quotePrefix="1" applyNumberFormat="1" applyFont="1" applyFill="1" applyBorder="1" applyAlignment="1">
      <alignment horizontal="center" vertical="center"/>
    </xf>
    <xf numFmtId="3" fontId="5" fillId="17" borderId="1" xfId="0" applyNumberFormat="1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16" fontId="0" fillId="0" borderId="1" xfId="0" applyNumberForma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3" fontId="5" fillId="2" borderId="1" xfId="0" applyNumberFormat="1" applyFont="1" applyFill="1" applyBorder="1" applyAlignment="1">
      <alignment horizontal="center" vertical="center"/>
    </xf>
    <xf numFmtId="15" fontId="5" fillId="0" borderId="1" xfId="2" applyNumberFormat="1" applyFont="1" applyBorder="1" applyAlignment="1">
      <alignment horizontal="center" vertical="center"/>
    </xf>
    <xf numFmtId="15" fontId="5" fillId="5" borderId="1" xfId="2" applyNumberFormat="1" applyFont="1" applyFill="1" applyBorder="1" applyAlignment="1">
      <alignment horizontal="center" vertical="center"/>
    </xf>
    <xf numFmtId="15" fontId="4" fillId="3" borderId="1" xfId="2" applyNumberFormat="1" applyFont="1" applyFill="1" applyBorder="1" applyAlignment="1">
      <alignment horizontal="center" vertical="center"/>
    </xf>
    <xf numFmtId="15" fontId="4" fillId="5" borderId="1" xfId="2" applyNumberFormat="1" applyFont="1" applyFill="1" applyBorder="1" applyAlignment="1">
      <alignment horizontal="center" vertical="center"/>
    </xf>
    <xf numFmtId="166" fontId="5" fillId="4" borderId="1" xfId="0" applyNumberFormat="1" applyFont="1" applyFill="1" applyBorder="1" applyAlignment="1">
      <alignment horizontal="center" vertical="center"/>
    </xf>
    <xf numFmtId="0" fontId="5" fillId="19" borderId="1" xfId="0" applyFont="1" applyFill="1" applyBorder="1" applyAlignment="1">
      <alignment horizontal="center" vertical="center"/>
    </xf>
    <xf numFmtId="15" fontId="5" fillId="2" borderId="1" xfId="0" applyNumberFormat="1" applyFont="1" applyFill="1" applyBorder="1" applyAlignment="1">
      <alignment horizontal="center" vertical="center"/>
    </xf>
    <xf numFmtId="3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5" fontId="4" fillId="2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3" fontId="5" fillId="3" borderId="0" xfId="0" applyNumberFormat="1" applyFont="1" applyFill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0" fontId="0" fillId="2" borderId="0" xfId="0" applyFill="1" applyAlignment="1">
      <alignment horizontal="center"/>
    </xf>
    <xf numFmtId="164" fontId="5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/>
    <xf numFmtId="0" fontId="2" fillId="0" borderId="0" xfId="0" applyFont="1" applyAlignment="1">
      <alignment horizont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9" fillId="3" borderId="0" xfId="1" applyFont="1" applyFill="1" applyAlignment="1">
      <alignment horizontal="center" vertical="center"/>
    </xf>
    <xf numFmtId="15" fontId="9" fillId="3" borderId="0" xfId="1" applyNumberFormat="1" applyFont="1" applyFill="1" applyAlignment="1">
      <alignment horizontal="center" vertical="center"/>
    </xf>
    <xf numFmtId="0" fontId="10" fillId="3" borderId="0" xfId="1" applyFont="1" applyFill="1" applyAlignment="1">
      <alignment horizontal="center" vertical="center"/>
    </xf>
    <xf numFmtId="15" fontId="10" fillId="2" borderId="0" xfId="1" applyNumberFormat="1" applyFont="1" applyFill="1" applyAlignment="1">
      <alignment horizontal="center" vertical="center"/>
    </xf>
    <xf numFmtId="16" fontId="4" fillId="2" borderId="0" xfId="0" applyNumberFormat="1" applyFont="1" applyFill="1" applyAlignment="1">
      <alignment horizontal="center" vertical="center"/>
    </xf>
    <xf numFmtId="15" fontId="10" fillId="3" borderId="0" xfId="1" applyNumberFormat="1" applyFont="1" applyFill="1" applyAlignment="1">
      <alignment horizontal="center" vertical="center"/>
    </xf>
    <xf numFmtId="3" fontId="10" fillId="3" borderId="0" xfId="1" applyNumberFormat="1" applyFont="1" applyFill="1" applyAlignment="1">
      <alignment horizontal="center" vertical="center"/>
    </xf>
    <xf numFmtId="0" fontId="0" fillId="2" borderId="0" xfId="0" applyFill="1"/>
    <xf numFmtId="164" fontId="0" fillId="2" borderId="0" xfId="0" applyNumberFormat="1" applyFill="1" applyAlignment="1">
      <alignment horizontal="center" vertical="center"/>
    </xf>
    <xf numFmtId="0" fontId="5" fillId="2" borderId="0" xfId="0" applyFont="1" applyFill="1"/>
    <xf numFmtId="0" fontId="0" fillId="2" borderId="13" xfId="0" applyFill="1" applyBorder="1" applyAlignment="1">
      <alignment horizontal="center"/>
    </xf>
    <xf numFmtId="0" fontId="15" fillId="2" borderId="0" xfId="0" applyFont="1" applyFill="1"/>
    <xf numFmtId="3" fontId="6" fillId="20" borderId="2" xfId="0" applyNumberFormat="1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/>
    </xf>
    <xf numFmtId="165" fontId="0" fillId="20" borderId="9" xfId="0" applyNumberFormat="1" applyFill="1" applyBorder="1" applyAlignment="1">
      <alignment horizontal="left" vertical="center"/>
    </xf>
    <xf numFmtId="3" fontId="5" fillId="20" borderId="1" xfId="0" applyNumberFormat="1" applyFont="1" applyFill="1" applyBorder="1" applyAlignment="1">
      <alignment horizontal="center" vertical="center"/>
    </xf>
    <xf numFmtId="165" fontId="0" fillId="20" borderId="11" xfId="0" applyNumberFormat="1" applyFill="1" applyBorder="1" applyAlignment="1">
      <alignment horizontal="left" vertical="center"/>
    </xf>
    <xf numFmtId="3" fontId="5" fillId="20" borderId="12" xfId="0" applyNumberFormat="1" applyFont="1" applyFill="1" applyBorder="1" applyAlignment="1">
      <alignment horizontal="center" vertical="center"/>
    </xf>
    <xf numFmtId="3" fontId="2" fillId="0" borderId="0" xfId="0" applyNumberFormat="1" applyFont="1" applyAlignment="1">
      <alignment horizontal="center"/>
    </xf>
    <xf numFmtId="0" fontId="16" fillId="2" borderId="0" xfId="4" applyFont="1" applyFill="1" applyAlignment="1">
      <alignment horizontal="center" vertical="center"/>
    </xf>
    <xf numFmtId="0" fontId="16" fillId="2" borderId="0" xfId="4" applyFont="1" applyFill="1" applyAlignment="1">
      <alignment vertical="center"/>
    </xf>
    <xf numFmtId="0" fontId="16" fillId="2" borderId="0" xfId="4" applyFont="1" applyFill="1" applyAlignment="1">
      <alignment horizontal="left" vertical="center"/>
    </xf>
    <xf numFmtId="168" fontId="18" fillId="2" borderId="0" xfId="4" applyNumberFormat="1" applyFont="1" applyFill="1" applyAlignment="1">
      <alignment vertical="center" wrapText="1"/>
    </xf>
    <xf numFmtId="0" fontId="18" fillId="2" borderId="0" xfId="4" applyFont="1" applyFill="1" applyAlignment="1">
      <alignment vertical="center"/>
    </xf>
    <xf numFmtId="167" fontId="16" fillId="2" borderId="0" xfId="4" applyNumberFormat="1" applyFont="1" applyFill="1" applyAlignment="1">
      <alignment horizontal="left" vertical="center" wrapText="1"/>
    </xf>
    <xf numFmtId="0" fontId="16" fillId="0" borderId="0" xfId="4" applyFont="1" applyAlignment="1">
      <alignment horizontal="left" vertical="center" wrapText="1"/>
    </xf>
    <xf numFmtId="0" fontId="16" fillId="2" borderId="0" xfId="4" applyFont="1" applyFill="1" applyAlignment="1">
      <alignment horizontal="center" vertical="center" wrapText="1"/>
    </xf>
    <xf numFmtId="0" fontId="16" fillId="2" borderId="0" xfId="4" applyFont="1" applyFill="1" applyAlignment="1">
      <alignment horizontal="left" vertical="center" wrapText="1"/>
    </xf>
    <xf numFmtId="0" fontId="16" fillId="2" borderId="0" xfId="4" applyFont="1" applyFill="1" applyAlignment="1">
      <alignment vertical="center" wrapText="1"/>
    </xf>
    <xf numFmtId="168" fontId="16" fillId="2" borderId="0" xfId="4" applyNumberFormat="1" applyFont="1" applyFill="1" applyAlignment="1">
      <alignment vertical="center"/>
    </xf>
    <xf numFmtId="168" fontId="16" fillId="2" borderId="0" xfId="4" applyNumberFormat="1" applyFont="1" applyFill="1" applyAlignment="1">
      <alignment vertical="center" wrapText="1"/>
    </xf>
    <xf numFmtId="167" fontId="16" fillId="2" borderId="0" xfId="4" applyNumberFormat="1" applyFont="1" applyFill="1" applyAlignment="1">
      <alignment horizontal="left" vertical="center"/>
    </xf>
    <xf numFmtId="168" fontId="21" fillId="2" borderId="0" xfId="4" applyNumberFormat="1" applyFont="1" applyFill="1" applyAlignment="1">
      <alignment vertical="center"/>
    </xf>
    <xf numFmtId="0" fontId="19" fillId="2" borderId="0" xfId="4" applyFont="1" applyFill="1" applyAlignment="1">
      <alignment horizontal="left" vertical="center"/>
    </xf>
    <xf numFmtId="0" fontId="22" fillId="2" borderId="0" xfId="4" applyFont="1" applyFill="1" applyAlignment="1">
      <alignment horizontal="center" vertical="center"/>
    </xf>
    <xf numFmtId="169" fontId="22" fillId="2" borderId="0" xfId="4" applyNumberFormat="1" applyFont="1" applyFill="1" applyAlignment="1">
      <alignment vertical="center"/>
    </xf>
    <xf numFmtId="168" fontId="19" fillId="2" borderId="0" xfId="5" applyNumberFormat="1" applyFont="1" applyFill="1" applyAlignment="1">
      <alignment vertical="center"/>
    </xf>
    <xf numFmtId="0" fontId="16" fillId="2" borderId="1" xfId="4" applyFont="1" applyFill="1" applyBorder="1" applyAlignment="1">
      <alignment horizontal="center" vertical="center" wrapText="1"/>
    </xf>
    <xf numFmtId="0" fontId="16" fillId="2" borderId="14" xfId="4" applyFont="1" applyFill="1" applyBorder="1" applyAlignment="1">
      <alignment horizontal="center" vertical="center" wrapText="1"/>
    </xf>
    <xf numFmtId="0" fontId="16" fillId="2" borderId="12" xfId="4" applyFont="1" applyFill="1" applyBorder="1" applyAlignment="1">
      <alignment horizontal="center" vertical="top"/>
    </xf>
    <xf numFmtId="168" fontId="16" fillId="2" borderId="1" xfId="4" applyNumberFormat="1" applyFont="1" applyFill="1" applyBorder="1" applyAlignment="1">
      <alignment horizontal="center" vertical="center"/>
    </xf>
    <xf numFmtId="0" fontId="23" fillId="2" borderId="1" xfId="4" applyFont="1" applyFill="1" applyBorder="1" applyAlignment="1">
      <alignment horizontal="center" vertical="center"/>
    </xf>
    <xf numFmtId="0" fontId="16" fillId="2" borderId="1" xfId="4" applyFont="1" applyFill="1" applyBorder="1" applyAlignment="1">
      <alignment horizontal="center" vertical="center"/>
    </xf>
    <xf numFmtId="0" fontId="16" fillId="2" borderId="1" xfId="4" applyFont="1" applyFill="1" applyBorder="1" applyAlignment="1">
      <alignment vertical="center"/>
    </xf>
    <xf numFmtId="169" fontId="16" fillId="2" borderId="1" xfId="4" applyNumberFormat="1" applyFont="1" applyFill="1" applyBorder="1" applyAlignment="1">
      <alignment vertical="center"/>
    </xf>
    <xf numFmtId="169" fontId="16" fillId="2" borderId="14" xfId="4" applyNumberFormat="1" applyFont="1" applyFill="1" applyBorder="1" applyAlignment="1">
      <alignment vertical="center"/>
    </xf>
    <xf numFmtId="0" fontId="16" fillId="2" borderId="10" xfId="4" applyFont="1" applyFill="1" applyBorder="1" applyAlignment="1">
      <alignment horizontal="center" vertical="top"/>
    </xf>
    <xf numFmtId="169" fontId="16" fillId="2" borderId="15" xfId="4" applyNumberFormat="1" applyFont="1" applyFill="1" applyBorder="1" applyAlignment="1">
      <alignment vertical="center"/>
    </xf>
    <xf numFmtId="42" fontId="18" fillId="2" borderId="0" xfId="4" applyNumberFormat="1" applyFont="1" applyFill="1" applyAlignment="1">
      <alignment vertical="center"/>
    </xf>
    <xf numFmtId="0" fontId="24" fillId="2" borderId="1" xfId="4" applyFont="1" applyFill="1" applyBorder="1" applyAlignment="1">
      <alignment horizontal="center" vertical="center"/>
    </xf>
    <xf numFmtId="0" fontId="16" fillId="2" borderId="8" xfId="4" applyFont="1" applyFill="1" applyBorder="1" applyAlignment="1">
      <alignment horizontal="center" vertical="top"/>
    </xf>
    <xf numFmtId="0" fontId="16" fillId="2" borderId="12" xfId="4" applyFont="1" applyFill="1" applyBorder="1" applyAlignment="1">
      <alignment horizontal="center" vertical="center"/>
    </xf>
    <xf numFmtId="0" fontId="16" fillId="2" borderId="0" xfId="4" applyFont="1" applyFill="1" applyAlignment="1">
      <alignment horizontal="center" vertical="top"/>
    </xf>
    <xf numFmtId="168" fontId="16" fillId="2" borderId="0" xfId="4" applyNumberFormat="1" applyFont="1" applyFill="1" applyAlignment="1">
      <alignment horizontal="center" vertical="center"/>
    </xf>
    <xf numFmtId="0" fontId="16" fillId="2" borderId="13" xfId="4" applyFont="1" applyFill="1" applyBorder="1" applyAlignment="1">
      <alignment horizontal="center" vertical="center"/>
    </xf>
    <xf numFmtId="0" fontId="24" fillId="2" borderId="0" xfId="4" applyFont="1" applyFill="1" applyAlignment="1">
      <alignment horizontal="center" vertical="center"/>
    </xf>
    <xf numFmtId="0" fontId="16" fillId="2" borderId="16" xfId="4" applyFont="1" applyFill="1" applyBorder="1" applyAlignment="1">
      <alignment horizontal="center" vertical="center"/>
    </xf>
    <xf numFmtId="0" fontId="18" fillId="2" borderId="3" xfId="4" applyFont="1" applyFill="1" applyBorder="1" applyAlignment="1">
      <alignment vertical="center"/>
    </xf>
    <xf numFmtId="0" fontId="16" fillId="2" borderId="3" xfId="4" applyFont="1" applyFill="1" applyBorder="1" applyAlignment="1">
      <alignment vertical="center"/>
    </xf>
    <xf numFmtId="169" fontId="16" fillId="2" borderId="17" xfId="4" applyNumberFormat="1" applyFont="1" applyFill="1" applyBorder="1" applyAlignment="1">
      <alignment vertical="center"/>
    </xf>
    <xf numFmtId="169" fontId="16" fillId="2" borderId="0" xfId="4" applyNumberFormat="1" applyFont="1" applyFill="1" applyAlignment="1">
      <alignment vertical="center"/>
    </xf>
    <xf numFmtId="168" fontId="16" fillId="2" borderId="15" xfId="4" applyNumberFormat="1" applyFont="1" applyFill="1" applyBorder="1" applyAlignment="1">
      <alignment horizontal="center" vertical="center"/>
    </xf>
    <xf numFmtId="0" fontId="16" fillId="2" borderId="15" xfId="4" applyFont="1" applyFill="1" applyBorder="1" applyAlignment="1">
      <alignment horizontal="center" vertical="center"/>
    </xf>
    <xf numFmtId="0" fontId="25" fillId="2" borderId="15" xfId="4" applyFont="1" applyFill="1" applyBorder="1" applyAlignment="1">
      <alignment vertical="center"/>
    </xf>
    <xf numFmtId="169" fontId="25" fillId="2" borderId="15" xfId="4" applyNumberFormat="1" applyFont="1" applyFill="1" applyBorder="1" applyAlignment="1">
      <alignment vertical="center"/>
    </xf>
    <xf numFmtId="169" fontId="25" fillId="2" borderId="14" xfId="4" applyNumberFormat="1" applyFont="1" applyFill="1" applyBorder="1" applyAlignment="1">
      <alignment vertical="center"/>
    </xf>
    <xf numFmtId="0" fontId="19" fillId="2" borderId="15" xfId="4" applyFont="1" applyFill="1" applyBorder="1" applyAlignment="1">
      <alignment horizontal="center" vertical="center"/>
    </xf>
    <xf numFmtId="0" fontId="16" fillId="2" borderId="15" xfId="4" applyFont="1" applyFill="1" applyBorder="1" applyAlignment="1">
      <alignment vertical="center"/>
    </xf>
    <xf numFmtId="0" fontId="24" fillId="2" borderId="15" xfId="4" applyFont="1" applyFill="1" applyBorder="1" applyAlignment="1">
      <alignment horizontal="center" vertical="center"/>
    </xf>
    <xf numFmtId="168" fontId="16" fillId="2" borderId="18" xfId="4" applyNumberFormat="1" applyFont="1" applyFill="1" applyBorder="1" applyAlignment="1">
      <alignment horizontal="center" vertical="center"/>
    </xf>
    <xf numFmtId="0" fontId="16" fillId="2" borderId="18" xfId="4" applyFont="1" applyFill="1" applyBorder="1" applyAlignment="1">
      <alignment horizontal="center" vertical="center"/>
    </xf>
    <xf numFmtId="0" fontId="16" fillId="2" borderId="18" xfId="4" applyFont="1" applyFill="1" applyBorder="1" applyAlignment="1">
      <alignment vertical="center"/>
    </xf>
    <xf numFmtId="169" fontId="16" fillId="2" borderId="19" xfId="4" applyNumberFormat="1" applyFont="1" applyFill="1" applyBorder="1" applyAlignment="1">
      <alignment vertical="center"/>
    </xf>
    <xf numFmtId="0" fontId="16" fillId="2" borderId="20" xfId="4" applyFont="1" applyFill="1" applyBorder="1" applyAlignment="1">
      <alignment horizontal="center" vertical="center"/>
    </xf>
    <xf numFmtId="0" fontId="18" fillId="2" borderId="21" xfId="4" applyFont="1" applyFill="1" applyBorder="1" applyAlignment="1">
      <alignment vertical="center"/>
    </xf>
    <xf numFmtId="0" fontId="16" fillId="2" borderId="21" xfId="4" applyFont="1" applyFill="1" applyBorder="1" applyAlignment="1">
      <alignment vertical="center"/>
    </xf>
    <xf numFmtId="169" fontId="16" fillId="2" borderId="22" xfId="4" applyNumberFormat="1" applyFont="1" applyFill="1" applyBorder="1" applyAlignment="1">
      <alignment vertical="center"/>
    </xf>
    <xf numFmtId="169" fontId="18" fillId="2" borderId="0" xfId="4" applyNumberFormat="1" applyFont="1" applyFill="1" applyAlignment="1">
      <alignment vertical="center"/>
    </xf>
    <xf numFmtId="42" fontId="18" fillId="2" borderId="1" xfId="4" applyNumberFormat="1" applyFont="1" applyFill="1" applyBorder="1" applyAlignment="1">
      <alignment vertical="center"/>
    </xf>
    <xf numFmtId="169" fontId="26" fillId="2" borderId="1" xfId="4" applyNumberFormat="1" applyFont="1" applyFill="1" applyBorder="1" applyAlignment="1">
      <alignment vertical="center"/>
    </xf>
    <xf numFmtId="0" fontId="26" fillId="2" borderId="1" xfId="4" applyFont="1" applyFill="1" applyBorder="1" applyAlignment="1">
      <alignment horizontal="center" vertical="center"/>
    </xf>
    <xf numFmtId="0" fontId="27" fillId="2" borderId="1" xfId="4" applyFont="1" applyFill="1" applyBorder="1" applyAlignment="1">
      <alignment horizontal="center" vertical="center"/>
    </xf>
    <xf numFmtId="0" fontId="23" fillId="2" borderId="0" xfId="0" applyFont="1" applyFill="1"/>
    <xf numFmtId="170" fontId="23" fillId="2" borderId="0" xfId="0" applyNumberFormat="1" applyFont="1" applyFill="1" applyAlignment="1">
      <alignment vertical="center"/>
    </xf>
    <xf numFmtId="0" fontId="23" fillId="2" borderId="0" xfId="0" applyFont="1" applyFill="1" applyAlignment="1">
      <alignment horizontal="right" vertical="top"/>
    </xf>
    <xf numFmtId="0" fontId="23" fillId="2" borderId="0" xfId="0" applyFont="1" applyFill="1" applyAlignment="1">
      <alignment vertical="top"/>
    </xf>
    <xf numFmtId="0" fontId="23" fillId="2" borderId="0" xfId="0" applyFont="1" applyFill="1" applyAlignment="1">
      <alignment vertical="center"/>
    </xf>
    <xf numFmtId="0" fontId="28" fillId="2" borderId="0" xfId="0" applyFont="1" applyFill="1" applyAlignment="1">
      <alignment horizontal="right" vertical="center"/>
    </xf>
    <xf numFmtId="0" fontId="23" fillId="2" borderId="0" xfId="0" applyFont="1" applyFill="1" applyAlignment="1">
      <alignment horizontal="left" vertical="center"/>
    </xf>
    <xf numFmtId="0" fontId="23" fillId="2" borderId="0" xfId="0" applyFont="1" applyFill="1" applyAlignment="1">
      <alignment horizontal="right"/>
    </xf>
    <xf numFmtId="0" fontId="23" fillId="2" borderId="10" xfId="0" applyFont="1" applyFill="1" applyBorder="1" applyAlignment="1">
      <alignment horizontal="center" vertical="center" wrapText="1"/>
    </xf>
    <xf numFmtId="0" fontId="23" fillId="2" borderId="27" xfId="0" applyFont="1" applyFill="1" applyBorder="1" applyAlignment="1">
      <alignment horizontal="center" vertical="center" wrapText="1"/>
    </xf>
    <xf numFmtId="0" fontId="23" fillId="2" borderId="28" xfId="0" applyFont="1" applyFill="1" applyBorder="1" applyAlignment="1">
      <alignment horizontal="center" vertical="center" wrapText="1"/>
    </xf>
    <xf numFmtId="0" fontId="23" fillId="2" borderId="29" xfId="0" applyFont="1" applyFill="1" applyBorder="1" applyAlignment="1">
      <alignment horizontal="center" vertical="center" wrapText="1"/>
    </xf>
    <xf numFmtId="0" fontId="23" fillId="2" borderId="30" xfId="0" applyFont="1" applyFill="1" applyBorder="1" applyAlignment="1">
      <alignment horizontal="center" vertical="center" wrapText="1"/>
    </xf>
    <xf numFmtId="15" fontId="23" fillId="2" borderId="10" xfId="0" applyNumberFormat="1" applyFont="1" applyFill="1" applyBorder="1" applyAlignment="1">
      <alignment horizontal="center" vertical="center"/>
    </xf>
    <xf numFmtId="0" fontId="23" fillId="2" borderId="29" xfId="0" applyFont="1" applyFill="1" applyBorder="1" applyAlignment="1">
      <alignment horizontal="left" vertical="center"/>
    </xf>
    <xf numFmtId="0" fontId="23" fillId="2" borderId="0" xfId="0" applyFont="1" applyFill="1" applyAlignment="1">
      <alignment horizontal="left" vertical="center" indent="1"/>
    </xf>
    <xf numFmtId="0" fontId="23" fillId="2" borderId="10" xfId="0" applyFont="1" applyFill="1" applyBorder="1" applyAlignment="1">
      <alignment horizontal="center" vertical="center"/>
    </xf>
    <xf numFmtId="38" fontId="23" fillId="2" borderId="10" xfId="0" applyNumberFormat="1" applyFont="1" applyFill="1" applyBorder="1" applyAlignment="1">
      <alignment vertical="center"/>
    </xf>
    <xf numFmtId="0" fontId="32" fillId="2" borderId="29" xfId="0" applyFont="1" applyFill="1" applyBorder="1" applyAlignment="1">
      <alignment horizontal="left" vertical="center"/>
    </xf>
    <xf numFmtId="0" fontId="32" fillId="2" borderId="0" xfId="0" applyFont="1" applyFill="1" applyAlignment="1">
      <alignment horizontal="left" vertical="center" indent="1"/>
    </xf>
    <xf numFmtId="0" fontId="32" fillId="2" borderId="0" xfId="0" applyFont="1" applyFill="1" applyAlignment="1">
      <alignment vertical="center"/>
    </xf>
    <xf numFmtId="169" fontId="23" fillId="2" borderId="10" xfId="0" applyNumberFormat="1" applyFont="1" applyFill="1" applyBorder="1" applyAlignment="1">
      <alignment vertical="center"/>
    </xf>
    <xf numFmtId="168" fontId="23" fillId="2" borderId="29" xfId="0" applyNumberFormat="1" applyFont="1" applyFill="1" applyBorder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23" fillId="2" borderId="16" xfId="0" applyFont="1" applyFill="1" applyBorder="1" applyAlignment="1">
      <alignment horizontal="center" vertical="center"/>
    </xf>
    <xf numFmtId="169" fontId="23" fillId="2" borderId="0" xfId="0" applyNumberFormat="1" applyFont="1" applyFill="1" applyAlignment="1">
      <alignment vertical="center"/>
    </xf>
    <xf numFmtId="38" fontId="34" fillId="2" borderId="10" xfId="6" applyNumberFormat="1" applyFont="1" applyFill="1" applyBorder="1" applyAlignment="1">
      <alignment horizontal="right" vertical="center"/>
    </xf>
    <xf numFmtId="169" fontId="23" fillId="2" borderId="0" xfId="0" applyNumberFormat="1" applyFont="1" applyFill="1"/>
    <xf numFmtId="0" fontId="23" fillId="2" borderId="29" xfId="0" applyFont="1" applyFill="1" applyBorder="1" applyAlignment="1">
      <alignment vertical="center"/>
    </xf>
    <xf numFmtId="0" fontId="28" fillId="2" borderId="0" xfId="0" applyFont="1" applyFill="1" applyAlignment="1">
      <alignment vertical="center"/>
    </xf>
    <xf numFmtId="0" fontId="28" fillId="2" borderId="10" xfId="0" applyFont="1" applyFill="1" applyBorder="1" applyAlignment="1">
      <alignment horizontal="center" vertical="center"/>
    </xf>
    <xf numFmtId="169" fontId="28" fillId="2" borderId="10" xfId="0" applyNumberFormat="1" applyFont="1" applyFill="1" applyBorder="1" applyAlignment="1">
      <alignment vertical="center"/>
    </xf>
    <xf numFmtId="9" fontId="23" fillId="2" borderId="0" xfId="0" applyNumberFormat="1" applyFont="1" applyFill="1" applyAlignment="1">
      <alignment horizontal="left" vertical="center"/>
    </xf>
    <xf numFmtId="0" fontId="23" fillId="2" borderId="24" xfId="0" applyFont="1" applyFill="1" applyBorder="1" applyAlignment="1">
      <alignment horizontal="center" vertical="center"/>
    </xf>
    <xf numFmtId="0" fontId="23" fillId="2" borderId="25" xfId="0" applyFont="1" applyFill="1" applyBorder="1" applyAlignment="1">
      <alignment vertical="center"/>
    </xf>
    <xf numFmtId="0" fontId="23" fillId="2" borderId="26" xfId="0" applyFont="1" applyFill="1" applyBorder="1" applyAlignment="1">
      <alignment vertical="center"/>
    </xf>
    <xf numFmtId="38" fontId="23" fillId="2" borderId="24" xfId="0" applyNumberFormat="1" applyFont="1" applyFill="1" applyBorder="1" applyAlignment="1">
      <alignment vertical="center"/>
    </xf>
    <xf numFmtId="0" fontId="23" fillId="2" borderId="28" xfId="0" applyFont="1" applyFill="1" applyBorder="1" applyAlignment="1">
      <alignment horizontal="center" vertical="center"/>
    </xf>
    <xf numFmtId="0" fontId="28" fillId="2" borderId="28" xfId="0" applyFont="1" applyFill="1" applyBorder="1" applyAlignment="1">
      <alignment vertical="center"/>
    </xf>
    <xf numFmtId="0" fontId="28" fillId="2" borderId="28" xfId="0" applyFont="1" applyFill="1" applyBorder="1" applyAlignment="1">
      <alignment horizontal="center" vertical="center" wrapText="1"/>
    </xf>
    <xf numFmtId="0" fontId="28" fillId="2" borderId="28" xfId="0" applyFont="1" applyFill="1" applyBorder="1" applyAlignment="1">
      <alignment horizontal="right" vertical="center" indent="1"/>
    </xf>
    <xf numFmtId="169" fontId="23" fillId="2" borderId="30" xfId="0" applyNumberFormat="1" applyFont="1" applyFill="1" applyBorder="1" applyAlignment="1">
      <alignment vertical="center"/>
    </xf>
    <xf numFmtId="0" fontId="23" fillId="2" borderId="0" xfId="0" applyFont="1" applyFill="1" applyAlignment="1">
      <alignment horizontal="right" vertical="center" indent="1"/>
    </xf>
    <xf numFmtId="169" fontId="23" fillId="2" borderId="1" xfId="0" applyNumberFormat="1" applyFont="1" applyFill="1" applyBorder="1" applyAlignment="1">
      <alignment vertical="center"/>
    </xf>
    <xf numFmtId="16" fontId="23" fillId="2" borderId="0" xfId="0" applyNumberFormat="1" applyFont="1" applyFill="1" applyAlignment="1">
      <alignment horizontal="left"/>
    </xf>
    <xf numFmtId="0" fontId="28" fillId="2" borderId="0" xfId="0" applyFont="1" applyFill="1"/>
    <xf numFmtId="0" fontId="0" fillId="2" borderId="0" xfId="0" applyFill="1" applyAlignment="1">
      <alignment horizontal="left" vertical="center"/>
    </xf>
    <xf numFmtId="38" fontId="23" fillId="2" borderId="0" xfId="0" applyNumberFormat="1" applyFont="1" applyFill="1" applyAlignment="1">
      <alignment vertical="center"/>
    </xf>
    <xf numFmtId="0" fontId="35" fillId="2" borderId="0" xfId="0" applyFont="1" applyFill="1" applyAlignment="1">
      <alignment horizontal="left" vertical="center"/>
    </xf>
    <xf numFmtId="168" fontId="23" fillId="2" borderId="0" xfId="0" applyNumberFormat="1" applyFont="1" applyFill="1" applyAlignment="1">
      <alignment horizontal="center" vertical="center"/>
    </xf>
    <xf numFmtId="0" fontId="28" fillId="2" borderId="0" xfId="0" applyFont="1" applyFill="1" applyAlignment="1">
      <alignment horizontal="left" vertical="center"/>
    </xf>
    <xf numFmtId="0" fontId="36" fillId="21" borderId="37" xfId="4" applyFont="1" applyFill="1" applyBorder="1" applyAlignment="1">
      <alignment horizontal="center" vertical="center"/>
    </xf>
    <xf numFmtId="0" fontId="37" fillId="2" borderId="37" xfId="4" applyFont="1" applyFill="1" applyBorder="1" applyAlignment="1">
      <alignment vertical="center"/>
    </xf>
    <xf numFmtId="0" fontId="1" fillId="0" borderId="0" xfId="4"/>
    <xf numFmtId="0" fontId="20" fillId="0" borderId="0" xfId="5"/>
    <xf numFmtId="0" fontId="38" fillId="22" borderId="0" xfId="4" applyFont="1" applyFill="1" applyAlignment="1">
      <alignment vertical="center"/>
    </xf>
    <xf numFmtId="0" fontId="37" fillId="22" borderId="0" xfId="4" applyFont="1" applyFill="1" applyAlignment="1">
      <alignment vertical="center"/>
    </xf>
    <xf numFmtId="0" fontId="37" fillId="0" borderId="0" xfId="4" applyFont="1" applyAlignment="1">
      <alignment vertical="center"/>
    </xf>
    <xf numFmtId="165" fontId="40" fillId="0" borderId="0" xfId="4" applyNumberFormat="1" applyFont="1" applyAlignment="1">
      <alignment horizontal="left" vertical="center"/>
    </xf>
    <xf numFmtId="167" fontId="41" fillId="2" borderId="0" xfId="4" applyNumberFormat="1" applyFont="1" applyFill="1" applyAlignment="1">
      <alignment horizontal="left" vertical="center" wrapText="1"/>
    </xf>
    <xf numFmtId="0" fontId="42" fillId="0" borderId="0" xfId="4" applyFont="1" applyAlignment="1">
      <alignment vertical="center" wrapText="1"/>
    </xf>
    <xf numFmtId="0" fontId="44" fillId="23" borderId="39" xfId="4" applyFont="1" applyFill="1" applyBorder="1" applyAlignment="1">
      <alignment vertical="center"/>
    </xf>
    <xf numFmtId="165" fontId="45" fillId="23" borderId="39" xfId="4" applyNumberFormat="1" applyFont="1" applyFill="1" applyBorder="1" applyAlignment="1">
      <alignment horizontal="left" vertical="center"/>
    </xf>
    <xf numFmtId="165" fontId="43" fillId="24" borderId="39" xfId="4" applyNumberFormat="1" applyFont="1" applyFill="1" applyBorder="1" applyAlignment="1">
      <alignment horizontal="left" vertical="center"/>
    </xf>
    <xf numFmtId="165" fontId="45" fillId="2" borderId="0" xfId="4" applyNumberFormat="1" applyFont="1" applyFill="1" applyAlignment="1">
      <alignment horizontal="left" vertical="center"/>
    </xf>
    <xf numFmtId="0" fontId="33" fillId="2" borderId="0" xfId="4" applyFont="1" applyFill="1" applyAlignment="1">
      <alignment vertical="center"/>
    </xf>
    <xf numFmtId="0" fontId="44" fillId="23" borderId="40" xfId="4" applyFont="1" applyFill="1" applyBorder="1" applyAlignment="1">
      <alignment vertical="center"/>
    </xf>
    <xf numFmtId="165" fontId="45" fillId="23" borderId="40" xfId="4" applyNumberFormat="1" applyFont="1" applyFill="1" applyBorder="1" applyAlignment="1">
      <alignment horizontal="left" vertical="center"/>
    </xf>
    <xf numFmtId="165" fontId="43" fillId="24" borderId="41" xfId="4" applyNumberFormat="1" applyFont="1" applyFill="1" applyBorder="1" applyAlignment="1">
      <alignment horizontal="left" vertical="center"/>
    </xf>
    <xf numFmtId="0" fontId="33" fillId="2" borderId="42" xfId="4" applyFont="1" applyFill="1" applyBorder="1" applyAlignment="1">
      <alignment horizontal="center" vertical="center"/>
    </xf>
    <xf numFmtId="172" fontId="33" fillId="2" borderId="42" xfId="4" applyNumberFormat="1" applyFont="1" applyFill="1" applyBorder="1" applyAlignment="1">
      <alignment horizontal="left" vertical="center"/>
    </xf>
    <xf numFmtId="0" fontId="33" fillId="2" borderId="42" xfId="4" applyFont="1" applyFill="1" applyBorder="1" applyAlignment="1">
      <alignment vertical="center"/>
    </xf>
    <xf numFmtId="173" fontId="37" fillId="2" borderId="0" xfId="4" applyNumberFormat="1" applyFont="1" applyFill="1" applyAlignment="1">
      <alignment vertical="center"/>
    </xf>
    <xf numFmtId="0" fontId="37" fillId="2" borderId="0" xfId="4" applyFont="1" applyFill="1" applyAlignment="1">
      <alignment vertical="center"/>
    </xf>
    <xf numFmtId="0" fontId="37" fillId="2" borderId="0" xfId="7" applyFont="1" applyFill="1" applyAlignment="1">
      <alignment vertical="center"/>
    </xf>
    <xf numFmtId="0" fontId="33" fillId="2" borderId="43" xfId="4" applyFont="1" applyFill="1" applyBorder="1" applyAlignment="1">
      <alignment horizontal="center" vertical="center"/>
    </xf>
    <xf numFmtId="172" fontId="33" fillId="2" borderId="43" xfId="4" applyNumberFormat="1" applyFont="1" applyFill="1" applyBorder="1" applyAlignment="1">
      <alignment horizontal="left" vertical="center"/>
    </xf>
    <xf numFmtId="15" fontId="33" fillId="2" borderId="43" xfId="4" applyNumberFormat="1" applyFont="1" applyFill="1" applyBorder="1" applyAlignment="1">
      <alignment horizontal="left" vertical="center"/>
    </xf>
    <xf numFmtId="0" fontId="33" fillId="2" borderId="43" xfId="4" applyFont="1" applyFill="1" applyBorder="1" applyAlignment="1">
      <alignment vertical="center"/>
    </xf>
    <xf numFmtId="167" fontId="48" fillId="2" borderId="0" xfId="4" applyNumberFormat="1" applyFont="1" applyFill="1" applyAlignment="1">
      <alignment horizontal="left" vertical="center" wrapText="1"/>
    </xf>
    <xf numFmtId="0" fontId="49" fillId="0" borderId="0" xfId="4" applyFont="1"/>
    <xf numFmtId="1" fontId="37" fillId="2" borderId="0" xfId="4" applyNumberFormat="1" applyFont="1" applyFill="1" applyAlignment="1">
      <alignment vertical="center"/>
    </xf>
    <xf numFmtId="0" fontId="33" fillId="2" borderId="43" xfId="4" applyFont="1" applyFill="1" applyBorder="1" applyAlignment="1">
      <alignment horizontal="left" vertical="center"/>
    </xf>
    <xf numFmtId="0" fontId="48" fillId="0" borderId="0" xfId="4" applyFont="1"/>
    <xf numFmtId="173" fontId="33" fillId="2" borderId="43" xfId="4" applyNumberFormat="1" applyFont="1" applyFill="1" applyBorder="1" applyAlignment="1">
      <alignment horizontal="left" vertical="center"/>
    </xf>
    <xf numFmtId="0" fontId="48" fillId="2" borderId="0" xfId="4" applyFont="1" applyFill="1" applyAlignment="1">
      <alignment vertical="center"/>
    </xf>
    <xf numFmtId="165" fontId="50" fillId="2" borderId="43" xfId="4" applyNumberFormat="1" applyFont="1" applyFill="1" applyBorder="1" applyAlignment="1">
      <alignment horizontal="left" vertical="center"/>
    </xf>
    <xf numFmtId="0" fontId="14" fillId="2" borderId="0" xfId="4" applyFont="1" applyFill="1" applyAlignment="1">
      <alignment vertical="top"/>
    </xf>
    <xf numFmtId="173" fontId="51" fillId="2" borderId="43" xfId="4" applyNumberFormat="1" applyFont="1" applyFill="1" applyBorder="1" applyAlignment="1">
      <alignment horizontal="left" vertical="center"/>
    </xf>
    <xf numFmtId="167" fontId="38" fillId="2" borderId="0" xfId="4" applyNumberFormat="1" applyFont="1" applyFill="1" applyAlignment="1">
      <alignment horizontal="left" vertical="center" wrapText="1"/>
    </xf>
    <xf numFmtId="167" fontId="52" fillId="2" borderId="0" xfId="4" applyNumberFormat="1" applyFont="1" applyFill="1" applyAlignment="1">
      <alignment horizontal="left" vertical="center"/>
    </xf>
    <xf numFmtId="0" fontId="13" fillId="0" borderId="43" xfId="4" applyFont="1" applyBorder="1"/>
    <xf numFmtId="0" fontId="51" fillId="2" borderId="43" xfId="4" applyFont="1" applyFill="1" applyBorder="1" applyAlignment="1">
      <alignment vertical="center"/>
    </xf>
    <xf numFmtId="0" fontId="33" fillId="2" borderId="0" xfId="4" applyFont="1" applyFill="1" applyAlignment="1">
      <alignment horizontal="center" vertical="center"/>
    </xf>
    <xf numFmtId="172" fontId="33" fillId="2" borderId="0" xfId="4" applyNumberFormat="1" applyFont="1" applyFill="1" applyAlignment="1">
      <alignment horizontal="left" vertical="center"/>
    </xf>
    <xf numFmtId="0" fontId="13" fillId="0" borderId="0" xfId="4" applyFont="1"/>
    <xf numFmtId="0" fontId="51" fillId="2" borderId="0" xfId="4" applyFont="1" applyFill="1" applyAlignment="1">
      <alignment vertical="center"/>
    </xf>
    <xf numFmtId="0" fontId="55" fillId="2" borderId="42" xfId="8" applyFont="1" applyFill="1" applyBorder="1" applyAlignment="1">
      <alignment horizontal="left" vertical="center" wrapText="1"/>
    </xf>
    <xf numFmtId="0" fontId="56" fillId="0" borderId="0" xfId="0" applyFont="1" applyAlignment="1">
      <alignment horizontal="left"/>
    </xf>
    <xf numFmtId="0" fontId="57" fillId="0" borderId="0" xfId="0" applyFont="1"/>
    <xf numFmtId="0" fontId="58" fillId="25" borderId="0" xfId="0" applyFont="1" applyFill="1"/>
    <xf numFmtId="0" fontId="57" fillId="0" borderId="0" xfId="0" applyFont="1" applyAlignment="1">
      <alignment horizontal="center"/>
    </xf>
    <xf numFmtId="0" fontId="59" fillId="0" borderId="0" xfId="0" applyFont="1"/>
    <xf numFmtId="0" fontId="59" fillId="0" borderId="44" xfId="0" applyFont="1" applyBorder="1" applyAlignment="1">
      <alignment horizontal="center"/>
    </xf>
    <xf numFmtId="0" fontId="59" fillId="0" borderId="30" xfId="0" applyFont="1" applyBorder="1"/>
    <xf numFmtId="0" fontId="60" fillId="0" borderId="45" xfId="0" applyFont="1" applyBorder="1" applyAlignment="1">
      <alignment horizontal="center" vertical="center"/>
    </xf>
    <xf numFmtId="0" fontId="60" fillId="0" borderId="46" xfId="0" applyFont="1" applyBorder="1" applyAlignment="1">
      <alignment horizontal="center" vertical="center"/>
    </xf>
    <xf numFmtId="0" fontId="61" fillId="25" borderId="46" xfId="0" applyFont="1" applyFill="1" applyBorder="1" applyAlignment="1">
      <alignment horizontal="center" vertical="center"/>
    </xf>
    <xf numFmtId="0" fontId="60" fillId="10" borderId="46" xfId="0" applyFont="1" applyFill="1" applyBorder="1" applyAlignment="1">
      <alignment horizontal="center" vertical="center"/>
    </xf>
    <xf numFmtId="165" fontId="62" fillId="25" borderId="47" xfId="0" applyNumberFormat="1" applyFont="1" applyFill="1" applyBorder="1" applyAlignment="1">
      <alignment horizontal="left" vertical="center"/>
    </xf>
    <xf numFmtId="0" fontId="60" fillId="26" borderId="46" xfId="0" applyFont="1" applyFill="1" applyBorder="1" applyAlignment="1">
      <alignment horizontal="center" vertical="center"/>
    </xf>
    <xf numFmtId="0" fontId="60" fillId="27" borderId="46" xfId="0" applyFont="1" applyFill="1" applyBorder="1" applyAlignment="1">
      <alignment horizontal="center" vertical="center"/>
    </xf>
    <xf numFmtId="0" fontId="60" fillId="17" borderId="48" xfId="0" applyFont="1" applyFill="1" applyBorder="1" applyAlignment="1">
      <alignment horizontal="center" vertical="center"/>
    </xf>
    <xf numFmtId="0" fontId="60" fillId="17" borderId="49" xfId="0" applyFont="1" applyFill="1" applyBorder="1" applyAlignment="1">
      <alignment horizontal="center" vertical="center"/>
    </xf>
    <xf numFmtId="0" fontId="60" fillId="17" borderId="50" xfId="0" applyFont="1" applyFill="1" applyBorder="1" applyAlignment="1">
      <alignment horizontal="center" vertical="center"/>
    </xf>
    <xf numFmtId="0" fontId="59" fillId="10" borderId="1" xfId="0" applyFont="1" applyFill="1" applyBorder="1" applyAlignment="1">
      <alignment horizontal="center"/>
    </xf>
    <xf numFmtId="0" fontId="59" fillId="28" borderId="0" xfId="0" applyFont="1" applyFill="1" applyAlignment="1">
      <alignment horizontal="center"/>
    </xf>
    <xf numFmtId="0" fontId="59" fillId="15" borderId="0" xfId="0" applyFont="1" applyFill="1"/>
    <xf numFmtId="0" fontId="57" fillId="0" borderId="1" xfId="0" applyFont="1" applyBorder="1" applyAlignment="1">
      <alignment horizontal="center"/>
    </xf>
    <xf numFmtId="0" fontId="57" fillId="0" borderId="1" xfId="0" applyFont="1" applyBorder="1"/>
    <xf numFmtId="0" fontId="63" fillId="2" borderId="1" xfId="0" applyFont="1" applyFill="1" applyBorder="1" applyAlignment="1">
      <alignment horizontal="center" vertical="center"/>
    </xf>
    <xf numFmtId="165" fontId="64" fillId="2" borderId="1" xfId="0" applyNumberFormat="1" applyFont="1" applyFill="1" applyBorder="1" applyAlignment="1">
      <alignment horizontal="left" vertical="center"/>
    </xf>
    <xf numFmtId="164" fontId="65" fillId="2" borderId="1" xfId="0" applyNumberFormat="1" applyFont="1" applyFill="1" applyBorder="1" applyAlignment="1">
      <alignment horizontal="center" vertical="center"/>
    </xf>
    <xf numFmtId="14" fontId="63" fillId="10" borderId="1" xfId="0" applyNumberFormat="1" applyFont="1" applyFill="1" applyBorder="1" applyAlignment="1">
      <alignment horizontal="center" vertical="center"/>
    </xf>
    <xf numFmtId="0" fontId="63" fillId="29" borderId="1" xfId="0" applyFont="1" applyFill="1" applyBorder="1" applyAlignment="1">
      <alignment horizontal="center" vertical="center"/>
    </xf>
    <xf numFmtId="165" fontId="64" fillId="25" borderId="1" xfId="0" applyNumberFormat="1" applyFont="1" applyFill="1" applyBorder="1" applyAlignment="1">
      <alignment horizontal="left" vertical="center"/>
    </xf>
    <xf numFmtId="0" fontId="63" fillId="30" borderId="1" xfId="0" applyFont="1" applyFill="1" applyBorder="1" applyAlignment="1">
      <alignment horizontal="center" vertical="center"/>
    </xf>
    <xf numFmtId="0" fontId="63" fillId="20" borderId="1" xfId="0" applyFont="1" applyFill="1" applyBorder="1" applyAlignment="1">
      <alignment horizontal="center" vertical="center"/>
    </xf>
    <xf numFmtId="0" fontId="63" fillId="0" borderId="1" xfId="0" applyFont="1" applyBorder="1" applyAlignment="1">
      <alignment horizontal="center" vertical="center"/>
    </xf>
    <xf numFmtId="3" fontId="63" fillId="0" borderId="51" xfId="0" applyNumberFormat="1" applyFont="1" applyBorder="1" applyAlignment="1">
      <alignment horizontal="center" vertical="center"/>
    </xf>
    <xf numFmtId="3" fontId="63" fillId="0" borderId="52" xfId="0" applyNumberFormat="1" applyFont="1" applyBorder="1" applyAlignment="1">
      <alignment horizontal="center" vertical="center"/>
    </xf>
    <xf numFmtId="3" fontId="63" fillId="0" borderId="53" xfId="0" applyNumberFormat="1" applyFont="1" applyBorder="1" applyAlignment="1">
      <alignment horizontal="center" vertical="center"/>
    </xf>
    <xf numFmtId="0" fontId="57" fillId="29" borderId="1" xfId="0" applyFont="1" applyFill="1" applyBorder="1" applyAlignment="1">
      <alignment horizontal="center"/>
    </xf>
    <xf numFmtId="0" fontId="57" fillId="31" borderId="0" xfId="0" applyFont="1" applyFill="1" applyAlignment="1">
      <alignment horizontal="center"/>
    </xf>
    <xf numFmtId="0" fontId="59" fillId="18" borderId="0" xfId="0" applyFont="1" applyFill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167" fontId="16" fillId="2" borderId="0" xfId="4" applyNumberFormat="1" applyFont="1" applyFill="1" applyAlignment="1">
      <alignment horizontal="left" vertical="center" wrapText="1"/>
    </xf>
    <xf numFmtId="168" fontId="16" fillId="2" borderId="0" xfId="4" applyNumberFormat="1" applyFont="1" applyFill="1" applyAlignment="1">
      <alignment vertical="center" wrapText="1"/>
    </xf>
    <xf numFmtId="0" fontId="16" fillId="0" borderId="0" xfId="4" applyFont="1" applyAlignment="1">
      <alignment vertical="center" wrapText="1"/>
    </xf>
    <xf numFmtId="0" fontId="1" fillId="0" borderId="0" xfId="4" applyAlignment="1">
      <alignment vertical="center" wrapText="1"/>
    </xf>
    <xf numFmtId="167" fontId="19" fillId="2" borderId="0" xfId="5" applyNumberFormat="1" applyFont="1" applyFill="1" applyAlignment="1">
      <alignment horizontal="left" vertical="center" wrapText="1"/>
    </xf>
    <xf numFmtId="0" fontId="19" fillId="2" borderId="0" xfId="4" applyFont="1" applyFill="1" applyAlignment="1">
      <alignment vertical="center" wrapText="1"/>
    </xf>
    <xf numFmtId="0" fontId="20" fillId="0" borderId="0" xfId="5" applyAlignment="1">
      <alignment vertical="center" wrapText="1"/>
    </xf>
    <xf numFmtId="0" fontId="16" fillId="2" borderId="0" xfId="4" applyFont="1" applyFill="1" applyAlignment="1">
      <alignment vertical="center" wrapText="1"/>
    </xf>
    <xf numFmtId="0" fontId="16" fillId="0" borderId="0" xfId="4" applyFont="1" applyAlignment="1">
      <alignment horizontal="left" vertical="center" wrapText="1"/>
    </xf>
    <xf numFmtId="165" fontId="16" fillId="2" borderId="0" xfId="4" applyNumberFormat="1" applyFont="1" applyFill="1" applyAlignment="1">
      <alignment horizontal="left" vertical="center" wrapText="1"/>
    </xf>
    <xf numFmtId="167" fontId="21" fillId="2" borderId="0" xfId="4" applyNumberFormat="1" applyFont="1" applyFill="1" applyAlignment="1">
      <alignment horizontal="left" vertical="center" wrapText="1"/>
    </xf>
    <xf numFmtId="0" fontId="21" fillId="2" borderId="0" xfId="4" applyFont="1" applyFill="1" applyAlignment="1">
      <alignment vertical="center" wrapText="1"/>
    </xf>
    <xf numFmtId="167" fontId="16" fillId="10" borderId="0" xfId="4" applyNumberFormat="1" applyFont="1" applyFill="1" applyAlignment="1">
      <alignment horizontal="left" vertical="center" wrapText="1"/>
    </xf>
    <xf numFmtId="0" fontId="16" fillId="10" borderId="0" xfId="4" applyFont="1" applyFill="1" applyAlignment="1">
      <alignment horizontal="left" vertical="center" wrapText="1"/>
    </xf>
    <xf numFmtId="165" fontId="16" fillId="10" borderId="0" xfId="4" applyNumberFormat="1" applyFont="1" applyFill="1" applyAlignment="1">
      <alignment horizontal="left" vertical="center" wrapText="1"/>
    </xf>
    <xf numFmtId="167" fontId="17" fillId="2" borderId="0" xfId="4" applyNumberFormat="1" applyFont="1" applyFill="1" applyAlignment="1">
      <alignment horizontal="left" vertical="center" wrapText="1"/>
    </xf>
    <xf numFmtId="168" fontId="17" fillId="2" borderId="0" xfId="4" applyNumberFormat="1" applyFont="1" applyFill="1" applyAlignment="1">
      <alignment vertical="center" wrapText="1"/>
    </xf>
    <xf numFmtId="0" fontId="18" fillId="2" borderId="0" xfId="4" applyFont="1" applyFill="1" applyAlignment="1">
      <alignment horizontal="left" vertical="center" wrapText="1"/>
    </xf>
    <xf numFmtId="0" fontId="18" fillId="2" borderId="0" xfId="4" applyFont="1" applyFill="1" applyAlignment="1">
      <alignment vertical="center" wrapText="1"/>
    </xf>
    <xf numFmtId="167" fontId="16" fillId="2" borderId="0" xfId="0" applyNumberFormat="1" applyFont="1" applyFill="1" applyAlignment="1">
      <alignment horizontal="left" vertical="center" wrapText="1"/>
    </xf>
    <xf numFmtId="165" fontId="16" fillId="2" borderId="0" xfId="0" applyNumberFormat="1" applyFont="1" applyFill="1" applyAlignment="1">
      <alignment horizontal="left" vertical="center" wrapText="1"/>
    </xf>
    <xf numFmtId="167" fontId="16" fillId="2" borderId="34" xfId="0" applyNumberFormat="1" applyFont="1" applyFill="1" applyBorder="1" applyAlignment="1">
      <alignment horizontal="left" vertical="center" wrapText="1"/>
    </xf>
    <xf numFmtId="167" fontId="16" fillId="2" borderId="35" xfId="0" applyNumberFormat="1" applyFont="1" applyFill="1" applyBorder="1" applyAlignment="1">
      <alignment horizontal="left" vertical="center" wrapText="1"/>
    </xf>
    <xf numFmtId="165" fontId="16" fillId="2" borderId="35" xfId="0" applyNumberFormat="1" applyFont="1" applyFill="1" applyBorder="1" applyAlignment="1">
      <alignment horizontal="left" vertical="center" wrapText="1"/>
    </xf>
    <xf numFmtId="165" fontId="16" fillId="2" borderId="36" xfId="0" applyNumberFormat="1" applyFont="1" applyFill="1" applyBorder="1" applyAlignment="1">
      <alignment horizontal="left" vertical="center" wrapText="1"/>
    </xf>
    <xf numFmtId="0" fontId="28" fillId="2" borderId="29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3" fillId="2" borderId="29" xfId="0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167" fontId="16" fillId="2" borderId="31" xfId="0" applyNumberFormat="1" applyFont="1" applyFill="1" applyBorder="1" applyAlignment="1">
      <alignment horizontal="left" vertical="center" wrapText="1"/>
    </xf>
    <xf numFmtId="167" fontId="16" fillId="2" borderId="32" xfId="0" applyNumberFormat="1" applyFont="1" applyFill="1" applyBorder="1" applyAlignment="1">
      <alignment horizontal="left" vertical="center" wrapText="1"/>
    </xf>
    <xf numFmtId="165" fontId="16" fillId="2" borderId="32" xfId="0" applyNumberFormat="1" applyFont="1" applyFill="1" applyBorder="1" applyAlignment="1">
      <alignment horizontal="left" vertical="center" wrapText="1"/>
    </xf>
    <xf numFmtId="165" fontId="16" fillId="2" borderId="33" xfId="0" applyNumberFormat="1" applyFont="1" applyFill="1" applyBorder="1" applyAlignment="1">
      <alignment horizontal="left" vertical="center" wrapText="1"/>
    </xf>
    <xf numFmtId="0" fontId="29" fillId="2" borderId="0" xfId="0" applyFont="1" applyFill="1" applyAlignment="1">
      <alignment horizontal="center" vertical="center" wrapText="1"/>
    </xf>
    <xf numFmtId="0" fontId="23" fillId="2" borderId="0" xfId="0" applyFont="1" applyFill="1" applyAlignment="1">
      <alignment horizontal="center" vertical="center" wrapText="1"/>
    </xf>
    <xf numFmtId="0" fontId="30" fillId="2" borderId="0" xfId="0" applyFont="1" applyFill="1" applyAlignment="1">
      <alignment horizontal="center" vertical="center" wrapText="1"/>
    </xf>
    <xf numFmtId="0" fontId="31" fillId="2" borderId="0" xfId="0" applyFont="1" applyFill="1" applyAlignment="1">
      <alignment horizontal="center" vertical="center" wrapText="1"/>
    </xf>
    <xf numFmtId="0" fontId="23" fillId="2" borderId="12" xfId="0" applyFont="1" applyFill="1" applyBorder="1" applyAlignment="1">
      <alignment horizontal="center" vertical="center" wrapText="1"/>
    </xf>
    <xf numFmtId="0" fontId="23" fillId="2" borderId="24" xfId="0" applyFont="1" applyFill="1" applyBorder="1" applyAlignment="1">
      <alignment horizontal="center" vertical="center" wrapText="1"/>
    </xf>
    <xf numFmtId="0" fontId="23" fillId="2" borderId="23" xfId="0" applyFont="1" applyFill="1" applyBorder="1" applyAlignment="1">
      <alignment horizontal="center" vertical="center" wrapText="1"/>
    </xf>
    <xf numFmtId="0" fontId="23" fillId="2" borderId="13" xfId="0" applyFont="1" applyFill="1" applyBorder="1" applyAlignment="1">
      <alignment horizontal="center" vertical="center" wrapText="1"/>
    </xf>
    <xf numFmtId="0" fontId="23" fillId="2" borderId="25" xfId="0" applyFont="1" applyFill="1" applyBorder="1" applyAlignment="1">
      <alignment horizontal="center" vertical="center" wrapText="1"/>
    </xf>
    <xf numFmtId="0" fontId="23" fillId="2" borderId="26" xfId="0" applyFont="1" applyFill="1" applyBorder="1" applyAlignment="1">
      <alignment horizontal="center" vertical="center" wrapText="1"/>
    </xf>
    <xf numFmtId="171" fontId="23" fillId="2" borderId="12" xfId="0" applyNumberFormat="1" applyFont="1" applyFill="1" applyBorder="1" applyAlignment="1">
      <alignment horizontal="center" vertical="center" wrapText="1"/>
    </xf>
    <xf numFmtId="0" fontId="33" fillId="2" borderId="0" xfId="4" applyFont="1" applyFill="1" applyAlignment="1">
      <alignment vertical="center" wrapText="1"/>
    </xf>
    <xf numFmtId="167" fontId="47" fillId="2" borderId="37" xfId="4" applyNumberFormat="1" applyFont="1" applyFill="1" applyBorder="1" applyAlignment="1">
      <alignment horizontal="left" vertical="center" wrapText="1"/>
    </xf>
    <xf numFmtId="0" fontId="20" fillId="0" borderId="37" xfId="5" applyBorder="1" applyAlignment="1">
      <alignment vertical="center" wrapText="1"/>
    </xf>
    <xf numFmtId="0" fontId="53" fillId="2" borderId="0" xfId="4" applyFont="1" applyFill="1" applyAlignment="1">
      <alignment horizontal="left" vertical="center" wrapText="1"/>
    </xf>
    <xf numFmtId="167" fontId="41" fillId="2" borderId="0" xfId="4" applyNumberFormat="1" applyFont="1" applyFill="1" applyAlignment="1">
      <alignment horizontal="left" vertical="center" wrapText="1"/>
    </xf>
    <xf numFmtId="0" fontId="42" fillId="0" borderId="0" xfId="4" applyFont="1" applyAlignment="1">
      <alignment vertical="center" wrapText="1"/>
    </xf>
    <xf numFmtId="165" fontId="43" fillId="2" borderId="0" xfId="4" applyNumberFormat="1" applyFont="1" applyFill="1" applyAlignment="1">
      <alignment horizontal="left" vertical="center" wrapText="1"/>
    </xf>
    <xf numFmtId="0" fontId="20" fillId="0" borderId="0" xfId="5" applyAlignment="1">
      <alignment wrapText="1"/>
    </xf>
    <xf numFmtId="0" fontId="46" fillId="2" borderId="40" xfId="4" applyFont="1" applyFill="1" applyBorder="1" applyAlignment="1">
      <alignment vertical="top" wrapText="1"/>
    </xf>
    <xf numFmtId="0" fontId="1" fillId="0" borderId="40" xfId="4" applyBorder="1" applyAlignment="1">
      <alignment vertical="top" wrapText="1"/>
    </xf>
    <xf numFmtId="0" fontId="1" fillId="0" borderId="0" xfId="4" applyAlignment="1">
      <alignment vertical="top" wrapText="1"/>
    </xf>
    <xf numFmtId="167" fontId="41" fillId="20" borderId="0" xfId="4" applyNumberFormat="1" applyFont="1" applyFill="1" applyAlignment="1">
      <alignment horizontal="left" vertical="center" wrapText="1"/>
    </xf>
    <xf numFmtId="0" fontId="42" fillId="20" borderId="0" xfId="4" applyFont="1" applyFill="1" applyAlignment="1">
      <alignment vertical="center" wrapText="1"/>
    </xf>
    <xf numFmtId="167" fontId="33" fillId="22" borderId="0" xfId="4" applyNumberFormat="1" applyFont="1" applyFill="1" applyAlignment="1">
      <alignment horizontal="left" vertical="center" wrapText="1"/>
    </xf>
    <xf numFmtId="0" fontId="38" fillId="22" borderId="0" xfId="4" applyFont="1" applyFill="1" applyAlignment="1">
      <alignment vertical="center" wrapText="1"/>
    </xf>
    <xf numFmtId="167" fontId="39" fillId="2" borderId="38" xfId="4" applyNumberFormat="1" applyFont="1" applyFill="1" applyBorder="1" applyAlignment="1">
      <alignment horizontal="left" vertical="center" wrapText="1"/>
    </xf>
    <xf numFmtId="0" fontId="1" fillId="0" borderId="38" xfId="4" applyBorder="1" applyAlignment="1">
      <alignment wrapText="1"/>
    </xf>
    <xf numFmtId="0" fontId="66" fillId="0" borderId="0" xfId="0" applyFont="1"/>
  </cellXfs>
  <cellStyles count="9">
    <cellStyle name="Hyperlink" xfId="8" builtinId="8"/>
    <cellStyle name="Normal" xfId="0" builtinId="0"/>
    <cellStyle name="Normal 2" xfId="1" xr:uid="{AB63C0C0-F892-485F-AC43-40130E86411E}"/>
    <cellStyle name="Normal 2 2" xfId="3" xr:uid="{6DDBDC6B-E57E-4959-8003-DCC74721F3E9}"/>
    <cellStyle name="Normal 2 2 2" xfId="7" xr:uid="{42884A24-B19A-4576-8856-F715E257899E}"/>
    <cellStyle name="Normal 2 3" xfId="4" xr:uid="{5E085300-A6B5-4679-928E-0414C29220A6}"/>
    <cellStyle name="Normal 3" xfId="2" xr:uid="{EB22D9CA-D1B4-431D-B4F5-8BE200F754C9}"/>
    <cellStyle name="Normal 4" xfId="5" xr:uid="{BAC55326-B913-45DE-B423-1DE6C6FC1CBA}"/>
    <cellStyle name="Normal 4 2" xfId="6" xr:uid="{C97530ED-CC45-4648-9AA4-1DCC81DC17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11</xdr:row>
      <xdr:rowOff>46990</xdr:rowOff>
    </xdr:from>
    <xdr:to>
      <xdr:col>10</xdr:col>
      <xdr:colOff>76200</xdr:colOff>
      <xdr:row>11</xdr:row>
      <xdr:rowOff>60960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5C8D4483-4B7B-447E-9B97-0FF082B82E14}"/>
            </a:ext>
          </a:extLst>
        </xdr:cNvPr>
        <xdr:cNvCxnSpPr/>
      </xdr:nvCxnSpPr>
      <xdr:spPr>
        <a:xfrm>
          <a:off x="701040" y="1974850"/>
          <a:ext cx="6659880" cy="1397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95250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58564A63-13F3-462C-AC25-120BAAA5C5AB}"/>
            </a:ext>
          </a:extLst>
        </xdr:cNvPr>
        <xdr:cNvSpPr>
          <a:spLocks noChangeAspect="1" noChangeArrowheads="1"/>
        </xdr:cNvSpPr>
      </xdr:nvSpPr>
      <xdr:spPr>
        <a:xfrm>
          <a:off x="1569720" y="876300"/>
          <a:ext cx="304800" cy="270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304800</xdr:colOff>
      <xdr:row>8</xdr:row>
      <xdr:rowOff>95250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6DE91C2C-37E0-4E92-9B32-C22837DA1717}"/>
            </a:ext>
          </a:extLst>
        </xdr:cNvPr>
        <xdr:cNvSpPr>
          <a:spLocks noChangeAspect="1" noChangeArrowheads="1"/>
        </xdr:cNvSpPr>
      </xdr:nvSpPr>
      <xdr:spPr>
        <a:xfrm>
          <a:off x="10744200" y="1226820"/>
          <a:ext cx="304800" cy="270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50</xdr:row>
      <xdr:rowOff>0</xdr:rowOff>
    </xdr:from>
    <xdr:ext cx="304800" cy="273050"/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BE88D9A3-7F2B-48E5-93D7-65815D7C546C}"/>
            </a:ext>
          </a:extLst>
        </xdr:cNvPr>
        <xdr:cNvSpPr>
          <a:spLocks noChangeAspect="1" noChangeArrowheads="1"/>
        </xdr:cNvSpPr>
      </xdr:nvSpPr>
      <xdr:spPr>
        <a:xfrm>
          <a:off x="1569720" y="8869680"/>
          <a:ext cx="304800" cy="273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251460</xdr:colOff>
      <xdr:row>3</xdr:row>
      <xdr:rowOff>0</xdr:rowOff>
    </xdr:from>
    <xdr:to>
      <xdr:col>3</xdr:col>
      <xdr:colOff>594360</xdr:colOff>
      <xdr:row>11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A3521CD-C1DC-4200-8891-63513E9B5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0080" y="525780"/>
          <a:ext cx="1524000" cy="14020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76D38-C125-4886-A999-CD50AAA9DDB1}">
  <dimension ref="B4:D22"/>
  <sheetViews>
    <sheetView tabSelected="1" workbookViewId="0">
      <selection activeCell="G12" sqref="G12"/>
    </sheetView>
  </sheetViews>
  <sheetFormatPr defaultRowHeight="14.4"/>
  <sheetData>
    <row r="4" spans="2:2">
      <c r="B4" s="399" t="s">
        <v>308</v>
      </c>
    </row>
    <row r="5" spans="2:2">
      <c r="B5" s="399"/>
    </row>
    <row r="6" spans="2:2">
      <c r="B6" s="399"/>
    </row>
    <row r="7" spans="2:2">
      <c r="B7" s="399" t="s">
        <v>0</v>
      </c>
    </row>
    <row r="8" spans="2:2">
      <c r="B8" s="399"/>
    </row>
    <row r="9" spans="2:2">
      <c r="B9" s="399"/>
    </row>
    <row r="10" spans="2:2">
      <c r="B10" s="399" t="s">
        <v>1</v>
      </c>
    </row>
    <row r="11" spans="2:2">
      <c r="B11" s="399"/>
    </row>
    <row r="12" spans="2:2">
      <c r="B12" s="399"/>
    </row>
    <row r="13" spans="2:2">
      <c r="B13" s="399" t="s">
        <v>2</v>
      </c>
    </row>
    <row r="14" spans="2:2">
      <c r="B14" s="399"/>
    </row>
    <row r="15" spans="2:2">
      <c r="B15" s="399"/>
    </row>
    <row r="16" spans="2:2">
      <c r="B16" s="399" t="s">
        <v>268</v>
      </c>
    </row>
    <row r="17" spans="2:4">
      <c r="B17" s="399"/>
    </row>
    <row r="18" spans="2:4">
      <c r="B18" s="399"/>
    </row>
    <row r="19" spans="2:4">
      <c r="B19" s="399" t="s">
        <v>269</v>
      </c>
    </row>
    <row r="20" spans="2:4">
      <c r="B20" s="399"/>
    </row>
    <row r="21" spans="2:4">
      <c r="B21" s="399"/>
    </row>
    <row r="22" spans="2:4">
      <c r="B22" s="399" t="s">
        <v>337</v>
      </c>
      <c r="D22" t="s">
        <v>338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9DBF2-B78F-4F02-AC12-794CB220FEFC}">
  <dimension ref="A3:AD10"/>
  <sheetViews>
    <sheetView zoomScale="85" zoomScaleNormal="85" workbookViewId="0">
      <pane ySplit="1" topLeftCell="A2" activePane="bottomLeft" state="frozen"/>
      <selection pane="bottomLeft" activeCell="C11" sqref="C11"/>
    </sheetView>
  </sheetViews>
  <sheetFormatPr defaultRowHeight="19.95" customHeight="1"/>
  <cols>
    <col min="1" max="1" width="7.77734375" style="302" customWidth="1"/>
    <col min="2" max="2" width="27.6640625" style="300" customWidth="1"/>
    <col min="3" max="3" width="27.109375" style="300" customWidth="1"/>
    <col min="4" max="4" width="15.33203125" style="300" customWidth="1"/>
    <col min="5" max="5" width="26.21875" style="301" customWidth="1"/>
    <col min="6" max="6" width="7.109375" style="301" customWidth="1"/>
    <col min="7" max="7" width="12.44140625" style="300" bestFit="1" customWidth="1"/>
    <col min="8" max="8" width="8.77734375" style="300" bestFit="1" customWidth="1"/>
    <col min="9" max="9" width="8.88671875" style="300" bestFit="1" customWidth="1"/>
    <col min="10" max="10" width="28.21875" style="301" customWidth="1"/>
    <col min="11" max="11" width="12.44140625" style="300" bestFit="1" customWidth="1"/>
    <col min="12" max="12" width="8.77734375" style="300" bestFit="1" customWidth="1"/>
    <col min="13" max="13" width="8.88671875" style="300" bestFit="1" customWidth="1"/>
    <col min="14" max="14" width="28.5546875" style="301" customWidth="1"/>
    <col min="15" max="15" width="12.44140625" style="300" bestFit="1" customWidth="1"/>
    <col min="16" max="16" width="8.77734375" style="300" bestFit="1" customWidth="1"/>
    <col min="17" max="17" width="9.44140625" style="300" bestFit="1" customWidth="1"/>
    <col min="18" max="18" width="26.77734375" style="301" customWidth="1"/>
    <col min="19" max="19" width="12.44140625" style="300" bestFit="1" customWidth="1"/>
    <col min="20" max="20" width="10.109375" style="300" customWidth="1"/>
    <col min="21" max="21" width="9.6640625" style="300" customWidth="1"/>
    <col min="22" max="22" width="18.5546875" style="300" customWidth="1"/>
    <col min="23" max="23" width="13.5546875" style="300" customWidth="1"/>
    <col min="24" max="24" width="17.21875" style="300" hidden="1" customWidth="1"/>
    <col min="25" max="25" width="14.44140625" style="300" hidden="1" customWidth="1"/>
    <col min="26" max="26" width="17.21875" style="300" hidden="1" customWidth="1"/>
    <col min="27" max="27" width="3" style="300" customWidth="1"/>
    <col min="28" max="28" width="11.6640625" style="302" customWidth="1"/>
    <col min="29" max="29" width="9.33203125" style="302" customWidth="1"/>
    <col min="30" max="30" width="10.21875" style="303" customWidth="1"/>
    <col min="31" max="16384" width="8.88671875" style="300"/>
  </cols>
  <sheetData>
    <row r="3" spans="1:30" ht="19.95" customHeight="1" thickBot="1">
      <c r="A3" s="299" t="s">
        <v>309</v>
      </c>
    </row>
    <row r="4" spans="1:30" ht="19.95" customHeight="1" thickBot="1">
      <c r="A4" s="304" t="s">
        <v>3</v>
      </c>
      <c r="B4" s="305" t="s">
        <v>331</v>
      </c>
      <c r="C4" s="306" t="s">
        <v>310</v>
      </c>
      <c r="D4" s="307" t="s">
        <v>311</v>
      </c>
      <c r="E4" s="308"/>
      <c r="F4" s="308"/>
      <c r="G4" s="309" t="s">
        <v>312</v>
      </c>
      <c r="H4" s="307" t="s">
        <v>313</v>
      </c>
      <c r="I4" s="307" t="s">
        <v>314</v>
      </c>
      <c r="J4" s="310" t="s">
        <v>46</v>
      </c>
      <c r="K4" s="309" t="s">
        <v>315</v>
      </c>
      <c r="L4" s="311" t="s">
        <v>316</v>
      </c>
      <c r="M4" s="311" t="s">
        <v>317</v>
      </c>
      <c r="N4" s="308"/>
      <c r="O4" s="309" t="s">
        <v>318</v>
      </c>
      <c r="P4" s="311" t="s">
        <v>319</v>
      </c>
      <c r="Q4" s="311" t="s">
        <v>320</v>
      </c>
      <c r="R4" s="308"/>
      <c r="S4" s="309" t="s">
        <v>321</v>
      </c>
      <c r="T4" s="307" t="s">
        <v>322</v>
      </c>
      <c r="U4" s="307" t="s">
        <v>323</v>
      </c>
      <c r="V4" s="312" t="s">
        <v>324</v>
      </c>
      <c r="W4" s="312" t="s">
        <v>325</v>
      </c>
      <c r="X4" s="313" t="s">
        <v>326</v>
      </c>
      <c r="Y4" s="314" t="s">
        <v>233</v>
      </c>
      <c r="Z4" s="315" t="s">
        <v>327</v>
      </c>
      <c r="AA4" s="303"/>
      <c r="AB4" s="316" t="s">
        <v>37</v>
      </c>
      <c r="AC4" s="317" t="s">
        <v>328</v>
      </c>
      <c r="AD4" s="318" t="s">
        <v>39</v>
      </c>
    </row>
    <row r="5" spans="1:30" ht="19.95" customHeight="1" thickBot="1">
      <c r="A5" s="319">
        <v>1</v>
      </c>
      <c r="B5" s="320" t="s">
        <v>332</v>
      </c>
      <c r="C5" s="321" t="s">
        <v>333</v>
      </c>
      <c r="D5" s="321" t="s">
        <v>334</v>
      </c>
      <c r="E5" s="322">
        <v>45871</v>
      </c>
      <c r="F5" s="323"/>
      <c r="G5" s="324">
        <v>45871</v>
      </c>
      <c r="H5" s="325" t="s">
        <v>143</v>
      </c>
      <c r="I5" s="325" t="s">
        <v>42</v>
      </c>
      <c r="J5" s="326">
        <v>45871</v>
      </c>
      <c r="K5" s="324">
        <v>45871</v>
      </c>
      <c r="L5" s="327" t="s">
        <v>200</v>
      </c>
      <c r="M5" s="327" t="s">
        <v>329</v>
      </c>
      <c r="N5" s="326">
        <v>45885</v>
      </c>
      <c r="O5" s="324">
        <v>45885</v>
      </c>
      <c r="P5" s="327" t="s">
        <v>206</v>
      </c>
      <c r="Q5" s="327" t="s">
        <v>330</v>
      </c>
      <c r="R5" s="326">
        <v>45886</v>
      </c>
      <c r="S5" s="324">
        <v>45886</v>
      </c>
      <c r="T5" s="325" t="s">
        <v>144</v>
      </c>
      <c r="U5" s="325" t="s">
        <v>43</v>
      </c>
      <c r="V5" s="328">
        <v>35</v>
      </c>
      <c r="W5" s="329"/>
      <c r="X5" s="330"/>
      <c r="Y5" s="331"/>
      <c r="Z5" s="332"/>
      <c r="AB5" s="333">
        <f t="shared" ref="AB5:AB8" si="0">DATEDIF(G5,S5,"d")</f>
        <v>15</v>
      </c>
      <c r="AC5" s="334">
        <v>1</v>
      </c>
      <c r="AD5" s="335">
        <f t="shared" ref="AD5:AD8" si="1">AB5+1</f>
        <v>16</v>
      </c>
    </row>
    <row r="6" spans="1:30" ht="19.95" customHeight="1" thickBot="1">
      <c r="A6" s="319">
        <v>2</v>
      </c>
      <c r="B6" s="320" t="s">
        <v>332</v>
      </c>
      <c r="C6" s="321" t="s">
        <v>333</v>
      </c>
      <c r="D6" s="321" t="s">
        <v>334</v>
      </c>
      <c r="E6" s="326">
        <v>45873</v>
      </c>
      <c r="F6" s="326"/>
      <c r="G6" s="324">
        <v>45873</v>
      </c>
      <c r="H6" s="325" t="s">
        <v>41</v>
      </c>
      <c r="I6" s="325" t="s">
        <v>42</v>
      </c>
      <c r="J6" s="326">
        <v>45873</v>
      </c>
      <c r="K6" s="324">
        <v>45873</v>
      </c>
      <c r="L6" s="327" t="s">
        <v>200</v>
      </c>
      <c r="M6" s="327" t="s">
        <v>329</v>
      </c>
      <c r="N6" s="326">
        <v>45887</v>
      </c>
      <c r="O6" s="324">
        <v>45887</v>
      </c>
      <c r="P6" s="327" t="s">
        <v>206</v>
      </c>
      <c r="Q6" s="327" t="s">
        <v>330</v>
      </c>
      <c r="R6" s="326">
        <v>45888</v>
      </c>
      <c r="S6" s="324">
        <v>45888</v>
      </c>
      <c r="T6" s="325" t="s">
        <v>44</v>
      </c>
      <c r="U6" s="325" t="s">
        <v>43</v>
      </c>
      <c r="V6" s="328">
        <v>35</v>
      </c>
      <c r="W6" s="329"/>
      <c r="X6" s="330"/>
      <c r="Y6" s="331"/>
      <c r="Z6" s="332"/>
      <c r="AB6" s="333">
        <f t="shared" si="0"/>
        <v>15</v>
      </c>
      <c r="AC6" s="334">
        <v>1</v>
      </c>
      <c r="AD6" s="335">
        <f t="shared" si="1"/>
        <v>16</v>
      </c>
    </row>
    <row r="7" spans="1:30" ht="19.95" customHeight="1" thickBot="1">
      <c r="A7" s="319">
        <v>3</v>
      </c>
      <c r="B7" s="320" t="s">
        <v>332</v>
      </c>
      <c r="C7" s="321" t="s">
        <v>333</v>
      </c>
      <c r="D7" s="321" t="s">
        <v>334</v>
      </c>
      <c r="E7" s="326">
        <v>45876</v>
      </c>
      <c r="F7" s="326"/>
      <c r="G7" s="324">
        <v>45876</v>
      </c>
      <c r="H7" s="325" t="s">
        <v>41</v>
      </c>
      <c r="I7" s="325" t="s">
        <v>42</v>
      </c>
      <c r="J7" s="326">
        <v>45876</v>
      </c>
      <c r="K7" s="324">
        <v>45876</v>
      </c>
      <c r="L7" s="327" t="s">
        <v>200</v>
      </c>
      <c r="M7" s="327" t="s">
        <v>329</v>
      </c>
      <c r="N7" s="326">
        <v>45890</v>
      </c>
      <c r="O7" s="324">
        <v>45890</v>
      </c>
      <c r="P7" s="327" t="s">
        <v>206</v>
      </c>
      <c r="Q7" s="327" t="s">
        <v>330</v>
      </c>
      <c r="R7" s="326">
        <v>45891</v>
      </c>
      <c r="S7" s="324">
        <v>45891</v>
      </c>
      <c r="T7" s="325" t="s">
        <v>44</v>
      </c>
      <c r="U7" s="325" t="s">
        <v>43</v>
      </c>
      <c r="V7" s="328">
        <v>35</v>
      </c>
      <c r="W7" s="329"/>
      <c r="X7" s="330"/>
      <c r="Y7" s="331"/>
      <c r="Z7" s="332"/>
      <c r="AB7" s="333">
        <f t="shared" si="0"/>
        <v>15</v>
      </c>
      <c r="AC7" s="334">
        <v>1</v>
      </c>
      <c r="AD7" s="335">
        <f t="shared" si="1"/>
        <v>16</v>
      </c>
    </row>
    <row r="8" spans="1:30" ht="19.95" customHeight="1" thickBot="1">
      <c r="A8" s="319">
        <v>4</v>
      </c>
      <c r="B8" s="320" t="s">
        <v>332</v>
      </c>
      <c r="C8" s="321" t="s">
        <v>333</v>
      </c>
      <c r="D8" s="321" t="s">
        <v>334</v>
      </c>
      <c r="E8" s="326">
        <v>45876</v>
      </c>
      <c r="F8" s="326"/>
      <c r="G8" s="324">
        <v>45876</v>
      </c>
      <c r="H8" s="325" t="s">
        <v>41</v>
      </c>
      <c r="I8" s="325" t="s">
        <v>42</v>
      </c>
      <c r="J8" s="326">
        <v>45876</v>
      </c>
      <c r="K8" s="324">
        <v>45876</v>
      </c>
      <c r="L8" s="327" t="s">
        <v>200</v>
      </c>
      <c r="M8" s="327" t="s">
        <v>329</v>
      </c>
      <c r="N8" s="326">
        <v>45885</v>
      </c>
      <c r="O8" s="324">
        <v>45885</v>
      </c>
      <c r="P8" s="327" t="s">
        <v>206</v>
      </c>
      <c r="Q8" s="327" t="s">
        <v>330</v>
      </c>
      <c r="R8" s="326">
        <v>45886</v>
      </c>
      <c r="S8" s="324">
        <v>45886</v>
      </c>
      <c r="T8" s="325" t="s">
        <v>44</v>
      </c>
      <c r="U8" s="325" t="s">
        <v>43</v>
      </c>
      <c r="V8" s="328">
        <v>40</v>
      </c>
      <c r="W8" s="329"/>
      <c r="X8" s="330"/>
      <c r="Y8" s="331"/>
      <c r="Z8" s="332"/>
      <c r="AB8" s="333">
        <f t="shared" si="0"/>
        <v>10</v>
      </c>
      <c r="AC8" s="334">
        <v>1</v>
      </c>
      <c r="AD8" s="335">
        <f t="shared" si="1"/>
        <v>11</v>
      </c>
    </row>
    <row r="10" spans="1:30" ht="19.95" customHeight="1">
      <c r="C10" s="300" t="s">
        <v>335</v>
      </c>
    </row>
  </sheetData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4E05F-9B48-438A-9A72-FE33550F901B}">
  <dimension ref="A2:AP32"/>
  <sheetViews>
    <sheetView zoomScale="90" zoomScaleNormal="90" workbookViewId="0">
      <pane ySplit="2" topLeftCell="A3" activePane="bottomLeft" state="frozen"/>
      <selection pane="bottomLeft" activeCell="W3" sqref="W3"/>
    </sheetView>
  </sheetViews>
  <sheetFormatPr defaultRowHeight="19.95" customHeight="1"/>
  <cols>
    <col min="1" max="1" width="5.77734375" customWidth="1"/>
    <col min="2" max="2" width="5.77734375" style="126" customWidth="1"/>
    <col min="3" max="3" width="28.77734375" customWidth="1"/>
    <col min="4" max="4" width="10.77734375" customWidth="1"/>
    <col min="5" max="8" width="12.77734375" customWidth="1"/>
    <col min="9" max="9" width="20.77734375" customWidth="1"/>
    <col min="10" max="12" width="10.77734375" customWidth="1"/>
    <col min="13" max="16" width="12.77734375" customWidth="1"/>
    <col min="17" max="20" width="10.77734375" customWidth="1"/>
    <col min="21" max="22" width="12.77734375" customWidth="1"/>
    <col min="23" max="23" width="13.5546875" customWidth="1"/>
    <col min="24" max="24" width="13.88671875" customWidth="1"/>
    <col min="25" max="31" width="12.77734375" customWidth="1"/>
    <col min="32" max="32" width="29.21875" customWidth="1"/>
    <col min="33" max="33" width="29.6640625" customWidth="1"/>
    <col min="34" max="34" width="13.88671875" customWidth="1"/>
    <col min="35" max="35" width="13.5546875" customWidth="1"/>
    <col min="36" max="36" width="12.5546875" customWidth="1"/>
    <col min="37" max="37" width="5.77734375" customWidth="1"/>
    <col min="38" max="38" width="12.77734375" customWidth="1"/>
    <col min="39" max="39" width="2.77734375" customWidth="1"/>
    <col min="40" max="40" width="9" style="110" customWidth="1"/>
    <col min="41" max="41" width="8.5546875" style="110" customWidth="1"/>
    <col min="42" max="42" width="8.21875" style="110" customWidth="1"/>
  </cols>
  <sheetData>
    <row r="2" spans="1:42" ht="60" customHeight="1" thickBot="1">
      <c r="A2" s="1" t="str">
        <f>_xlfn.UNICHAR(9989)</f>
        <v>✅</v>
      </c>
      <c r="B2" s="2" t="s">
        <v>3</v>
      </c>
      <c r="C2" s="3" t="s">
        <v>4</v>
      </c>
      <c r="D2" s="4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6" t="s">
        <v>10</v>
      </c>
      <c r="J2" s="6" t="s">
        <v>11</v>
      </c>
      <c r="K2" s="7" t="s">
        <v>12</v>
      </c>
      <c r="L2" s="7" t="s">
        <v>13</v>
      </c>
      <c r="M2" s="8" t="s">
        <v>14</v>
      </c>
      <c r="N2" s="7" t="s">
        <v>15</v>
      </c>
      <c r="O2" s="7" t="s">
        <v>16</v>
      </c>
      <c r="P2" s="8" t="s">
        <v>17</v>
      </c>
      <c r="Q2" s="7" t="s">
        <v>13</v>
      </c>
      <c r="R2" s="7" t="s">
        <v>12</v>
      </c>
      <c r="S2" s="6" t="s">
        <v>18</v>
      </c>
      <c r="T2" s="9" t="s">
        <v>19</v>
      </c>
      <c r="U2" s="9" t="s">
        <v>20</v>
      </c>
      <c r="V2" s="9" t="s">
        <v>21</v>
      </c>
      <c r="W2" s="10" t="s">
        <v>22</v>
      </c>
      <c r="X2" s="10" t="s">
        <v>23</v>
      </c>
      <c r="Y2" s="11" t="s">
        <v>24</v>
      </c>
      <c r="Z2" s="12" t="s">
        <v>25</v>
      </c>
      <c r="AA2" s="12" t="s">
        <v>170</v>
      </c>
      <c r="AB2" s="11" t="s">
        <v>27</v>
      </c>
      <c r="AC2" s="13" t="s">
        <v>28</v>
      </c>
      <c r="AD2" s="13" t="s">
        <v>171</v>
      </c>
      <c r="AE2" s="14" t="s">
        <v>30</v>
      </c>
      <c r="AF2" s="12" t="s">
        <v>172</v>
      </c>
      <c r="AG2" s="15" t="s">
        <v>32</v>
      </c>
      <c r="AH2" s="16" t="s">
        <v>33</v>
      </c>
      <c r="AI2" s="16" t="s">
        <v>34</v>
      </c>
      <c r="AJ2" s="336" t="s">
        <v>35</v>
      </c>
      <c r="AK2" s="337"/>
      <c r="AL2" s="17" t="s">
        <v>36</v>
      </c>
      <c r="AN2" s="18" t="s">
        <v>37</v>
      </c>
      <c r="AO2" s="18" t="s">
        <v>38</v>
      </c>
      <c r="AP2" s="18" t="s">
        <v>39</v>
      </c>
    </row>
    <row r="3" spans="1:42" ht="19.95" customHeight="1" thickTop="1">
      <c r="B3" s="42">
        <v>1</v>
      </c>
      <c r="C3" s="69" t="s">
        <v>147</v>
      </c>
      <c r="D3" s="70">
        <v>45856</v>
      </c>
      <c r="E3" s="71" t="s">
        <v>222</v>
      </c>
      <c r="F3" s="72" t="s">
        <v>47</v>
      </c>
      <c r="G3" s="72" t="s">
        <v>50</v>
      </c>
      <c r="H3" s="73">
        <v>45859</v>
      </c>
      <c r="I3" s="74" t="s">
        <v>51</v>
      </c>
      <c r="J3" s="45" t="s">
        <v>52</v>
      </c>
      <c r="K3" s="75" t="s">
        <v>53</v>
      </c>
      <c r="L3" s="47" t="s">
        <v>54</v>
      </c>
      <c r="M3" s="76">
        <v>45871</v>
      </c>
      <c r="N3" s="77">
        <v>45871</v>
      </c>
      <c r="O3" s="77">
        <v>45881</v>
      </c>
      <c r="P3" s="78">
        <v>45882</v>
      </c>
      <c r="Q3" s="75" t="s">
        <v>55</v>
      </c>
      <c r="R3" s="79" t="s">
        <v>56</v>
      </c>
      <c r="S3" s="80">
        <f>SUM(AP3)</f>
        <v>12</v>
      </c>
      <c r="T3" s="81">
        <v>15</v>
      </c>
      <c r="U3" s="82">
        <v>9000000</v>
      </c>
      <c r="V3" s="54">
        <v>9100000</v>
      </c>
      <c r="W3" s="83">
        <f>U3*T3</f>
        <v>135000000</v>
      </c>
      <c r="X3" s="83">
        <f>V3*T3</f>
        <v>136500000</v>
      </c>
      <c r="Y3" s="56" t="s">
        <v>57</v>
      </c>
      <c r="Z3" s="84" t="s">
        <v>58</v>
      </c>
      <c r="AA3" s="84" t="s">
        <v>58</v>
      </c>
      <c r="AB3" s="56" t="s">
        <v>57</v>
      </c>
      <c r="AC3" s="84" t="s">
        <v>59</v>
      </c>
      <c r="AD3" s="84" t="s">
        <v>59</v>
      </c>
      <c r="AE3" s="59">
        <v>45859</v>
      </c>
      <c r="AF3" s="85">
        <v>45859</v>
      </c>
      <c r="AG3" s="61">
        <v>45859</v>
      </c>
      <c r="AH3" s="86">
        <v>207000000</v>
      </c>
      <c r="AI3" s="86">
        <v>208500000</v>
      </c>
      <c r="AJ3" s="40">
        <v>45859</v>
      </c>
      <c r="AK3" s="67" t="str">
        <f t="shared" ref="AK3:AK16" si="0">_xlfn.UNICHAR(9989)</f>
        <v>✅</v>
      </c>
      <c r="AL3" s="45" t="s">
        <v>60</v>
      </c>
      <c r="AM3" s="87"/>
      <c r="AN3" s="42">
        <f t="shared" ref="AN3:AN16" si="1">DATEDIF(M3,P3,"d")</f>
        <v>11</v>
      </c>
      <c r="AO3" s="42">
        <v>1</v>
      </c>
      <c r="AP3" s="42">
        <f>AN3+AO3</f>
        <v>12</v>
      </c>
    </row>
    <row r="4" spans="1:42" ht="19.95" customHeight="1">
      <c r="B4" s="42">
        <f t="shared" ref="B4:B22" si="2">B3+1</f>
        <v>2</v>
      </c>
      <c r="C4" s="68" t="s">
        <v>148</v>
      </c>
      <c r="D4" s="43">
        <v>45783</v>
      </c>
      <c r="E4" s="44" t="s">
        <v>223</v>
      </c>
      <c r="F4" s="46" t="s">
        <v>62</v>
      </c>
      <c r="G4" s="46" t="s">
        <v>62</v>
      </c>
      <c r="H4" s="62" t="s">
        <v>48</v>
      </c>
      <c r="I4" s="88" t="s">
        <v>63</v>
      </c>
      <c r="J4" s="45" t="s">
        <v>64</v>
      </c>
      <c r="K4" s="46" t="s">
        <v>65</v>
      </c>
      <c r="L4" s="47" t="s">
        <v>66</v>
      </c>
      <c r="M4" s="48">
        <v>45873</v>
      </c>
      <c r="N4" s="49">
        <v>45873</v>
      </c>
      <c r="O4" s="49">
        <v>45884</v>
      </c>
      <c r="P4" s="50">
        <v>45884</v>
      </c>
      <c r="Q4" s="51" t="s">
        <v>67</v>
      </c>
      <c r="R4" s="47" t="s">
        <v>68</v>
      </c>
      <c r="S4" s="47">
        <f>SUM(AP4)</f>
        <v>12</v>
      </c>
      <c r="T4" s="51">
        <v>80</v>
      </c>
      <c r="U4" s="82">
        <v>9000000</v>
      </c>
      <c r="V4" s="54">
        <v>9100000</v>
      </c>
      <c r="W4" s="56">
        <f t="shared" ref="W4:W14" si="3">U4*T4</f>
        <v>720000000</v>
      </c>
      <c r="X4" s="56">
        <f t="shared" ref="X4:X14" si="4">V4*T4</f>
        <v>728000000</v>
      </c>
      <c r="Y4" s="56">
        <v>320000000</v>
      </c>
      <c r="Z4" s="57">
        <v>45782</v>
      </c>
      <c r="AA4" s="57">
        <v>45782</v>
      </c>
      <c r="AB4" s="56">
        <v>4000000</v>
      </c>
      <c r="AC4" s="58">
        <v>45782</v>
      </c>
      <c r="AD4" s="58"/>
      <c r="AE4" s="59">
        <f t="shared" ref="AE4:AE8" si="5">M4-30</f>
        <v>45843</v>
      </c>
      <c r="AF4" s="60">
        <v>45839</v>
      </c>
      <c r="AG4" s="38">
        <f>SUM(M4-16)</f>
        <v>45857</v>
      </c>
      <c r="AH4" s="39">
        <f>SUM(W4-Y4)</f>
        <v>400000000</v>
      </c>
      <c r="AI4" s="39">
        <f>SUM(Z4-AA4)</f>
        <v>0</v>
      </c>
      <c r="AJ4" s="40">
        <v>45868</v>
      </c>
      <c r="AK4" s="67" t="str">
        <f t="shared" si="0"/>
        <v>✅</v>
      </c>
      <c r="AL4" s="45" t="s">
        <v>69</v>
      </c>
      <c r="AN4" s="42">
        <f t="shared" si="1"/>
        <v>11</v>
      </c>
      <c r="AO4" s="42">
        <v>1</v>
      </c>
      <c r="AP4" s="42">
        <f>AN4+AO4</f>
        <v>12</v>
      </c>
    </row>
    <row r="5" spans="1:42" ht="19.95" customHeight="1">
      <c r="B5" s="42">
        <f t="shared" si="2"/>
        <v>3</v>
      </c>
      <c r="C5" s="68" t="s">
        <v>149</v>
      </c>
      <c r="D5" s="43"/>
      <c r="E5" s="44" t="s">
        <v>224</v>
      </c>
      <c r="F5" s="46" t="s">
        <v>47</v>
      </c>
      <c r="G5" s="46" t="s">
        <v>48</v>
      </c>
      <c r="H5" s="62" t="s">
        <v>48</v>
      </c>
      <c r="I5" s="88" t="s">
        <v>70</v>
      </c>
      <c r="J5" s="45" t="s">
        <v>64</v>
      </c>
      <c r="K5" s="46" t="s">
        <v>65</v>
      </c>
      <c r="L5" s="47" t="s">
        <v>66</v>
      </c>
      <c r="M5" s="48">
        <v>45880</v>
      </c>
      <c r="N5" s="49">
        <v>45880</v>
      </c>
      <c r="O5" s="49">
        <v>45891</v>
      </c>
      <c r="P5" s="50">
        <v>45891</v>
      </c>
      <c r="Q5" s="51" t="s">
        <v>67</v>
      </c>
      <c r="R5" s="47" t="s">
        <v>68</v>
      </c>
      <c r="S5" s="47">
        <f>SUM(AP5)</f>
        <v>12</v>
      </c>
      <c r="T5" s="51">
        <v>19</v>
      </c>
      <c r="U5" s="82">
        <v>9000000</v>
      </c>
      <c r="V5" s="54">
        <v>9100000</v>
      </c>
      <c r="W5" s="56">
        <f t="shared" si="3"/>
        <v>171000000</v>
      </c>
      <c r="X5" s="56">
        <f t="shared" si="4"/>
        <v>172900000</v>
      </c>
      <c r="Y5" s="56">
        <v>80000000</v>
      </c>
      <c r="Z5" s="57"/>
      <c r="AA5" s="57"/>
      <c r="AB5" s="56"/>
      <c r="AC5" s="58">
        <v>45841</v>
      </c>
      <c r="AD5" s="58" t="s">
        <v>49</v>
      </c>
      <c r="AE5" s="59">
        <f t="shared" si="5"/>
        <v>45850</v>
      </c>
      <c r="AF5" s="60">
        <v>45845</v>
      </c>
      <c r="AG5" s="38">
        <f>SUM(M5-16)</f>
        <v>45864</v>
      </c>
      <c r="AH5" s="39">
        <f>SUM(W5-Y5)</f>
        <v>91000000</v>
      </c>
      <c r="AI5" s="39"/>
      <c r="AJ5" s="40">
        <v>45843</v>
      </c>
      <c r="AK5" s="67" t="str">
        <f t="shared" si="0"/>
        <v>✅</v>
      </c>
      <c r="AL5" s="45" t="s">
        <v>71</v>
      </c>
      <c r="AN5" s="42">
        <f t="shared" si="1"/>
        <v>11</v>
      </c>
      <c r="AO5" s="42">
        <v>1</v>
      </c>
      <c r="AP5" s="42">
        <f>AN5+AO5</f>
        <v>12</v>
      </c>
    </row>
    <row r="6" spans="1:42" ht="19.95" customHeight="1">
      <c r="B6" s="42">
        <f t="shared" si="2"/>
        <v>4</v>
      </c>
      <c r="C6" s="47" t="s">
        <v>150</v>
      </c>
      <c r="D6" s="43">
        <v>45839</v>
      </c>
      <c r="E6" s="71" t="s">
        <v>222</v>
      </c>
      <c r="F6" s="46" t="s">
        <v>72</v>
      </c>
      <c r="G6" s="46" t="s">
        <v>72</v>
      </c>
      <c r="H6" s="89">
        <v>45862</v>
      </c>
      <c r="I6" s="45" t="s">
        <v>73</v>
      </c>
      <c r="J6" s="45" t="s">
        <v>74</v>
      </c>
      <c r="K6" s="46" t="s">
        <v>53</v>
      </c>
      <c r="L6" s="47" t="s">
        <v>54</v>
      </c>
      <c r="M6" s="48">
        <v>45895</v>
      </c>
      <c r="N6" s="49">
        <v>45895</v>
      </c>
      <c r="O6" s="49">
        <v>45906</v>
      </c>
      <c r="P6" s="50">
        <v>45907</v>
      </c>
      <c r="Q6" s="51" t="s">
        <v>75</v>
      </c>
      <c r="R6" s="47" t="s">
        <v>76</v>
      </c>
      <c r="S6" s="47">
        <f t="shared" ref="S6:S18" si="6">SUM(AP6)</f>
        <v>13</v>
      </c>
      <c r="T6" s="52">
        <v>20</v>
      </c>
      <c r="U6" s="82">
        <v>9000000</v>
      </c>
      <c r="V6" s="54">
        <v>9100000</v>
      </c>
      <c r="W6" s="56">
        <f t="shared" si="3"/>
        <v>180000000</v>
      </c>
      <c r="X6" s="56">
        <f t="shared" si="4"/>
        <v>182000000</v>
      </c>
      <c r="Y6" s="56">
        <f>SUM(T6*2000000)</f>
        <v>40000000</v>
      </c>
      <c r="Z6" s="57">
        <v>45840</v>
      </c>
      <c r="AA6" s="57">
        <v>45840</v>
      </c>
      <c r="AB6" s="56" t="s">
        <v>77</v>
      </c>
      <c r="AC6" s="58" t="s">
        <v>78</v>
      </c>
      <c r="AD6" s="63" t="s">
        <v>79</v>
      </c>
      <c r="AE6" s="64" t="s">
        <v>61</v>
      </c>
      <c r="AF6" s="38">
        <f>SUM(M6-45)</f>
        <v>45850</v>
      </c>
      <c r="AG6" s="38">
        <v>45881</v>
      </c>
      <c r="AH6" s="39">
        <f>SUM(U6-2000000)*(40)</f>
        <v>280000000</v>
      </c>
      <c r="AI6" s="39">
        <f>SUM(V6-2000000)*(40)</f>
        <v>284000000</v>
      </c>
      <c r="AJ6" s="40">
        <v>45881</v>
      </c>
      <c r="AK6" s="67" t="str">
        <f t="shared" si="0"/>
        <v>✅</v>
      </c>
      <c r="AL6" s="45" t="s">
        <v>80</v>
      </c>
      <c r="AN6" s="42">
        <f t="shared" si="1"/>
        <v>12</v>
      </c>
      <c r="AO6" s="42">
        <v>1</v>
      </c>
      <c r="AP6" s="42">
        <f t="shared" ref="AP6:AP16" si="7">AN6+AO6</f>
        <v>13</v>
      </c>
    </row>
    <row r="7" spans="1:42" ht="19.95" customHeight="1">
      <c r="B7" s="42">
        <f t="shared" si="2"/>
        <v>5</v>
      </c>
      <c r="C7" s="47" t="s">
        <v>151</v>
      </c>
      <c r="D7" s="43">
        <v>45839</v>
      </c>
      <c r="E7" s="44" t="s">
        <v>223</v>
      </c>
      <c r="F7" s="46" t="s">
        <v>72</v>
      </c>
      <c r="G7" s="46" t="s">
        <v>72</v>
      </c>
      <c r="H7" s="89">
        <v>45862</v>
      </c>
      <c r="I7" s="45" t="s">
        <v>73</v>
      </c>
      <c r="J7" s="45" t="s">
        <v>74</v>
      </c>
      <c r="K7" s="46" t="s">
        <v>53</v>
      </c>
      <c r="L7" s="47" t="s">
        <v>54</v>
      </c>
      <c r="M7" s="48">
        <v>45895</v>
      </c>
      <c r="N7" s="49">
        <v>45895</v>
      </c>
      <c r="O7" s="49">
        <v>45906</v>
      </c>
      <c r="P7" s="50">
        <v>45907</v>
      </c>
      <c r="Q7" s="51" t="s">
        <v>75</v>
      </c>
      <c r="R7" s="47" t="s">
        <v>76</v>
      </c>
      <c r="S7" s="47">
        <f t="shared" si="6"/>
        <v>13</v>
      </c>
      <c r="T7" s="52">
        <v>20</v>
      </c>
      <c r="U7" s="82">
        <v>9000000</v>
      </c>
      <c r="V7" s="54">
        <v>9100000</v>
      </c>
      <c r="W7" s="56">
        <f t="shared" si="3"/>
        <v>180000000</v>
      </c>
      <c r="X7" s="56">
        <f t="shared" si="4"/>
        <v>182000000</v>
      </c>
      <c r="Y7" s="56">
        <f>SUM(T7*2000000)</f>
        <v>40000000</v>
      </c>
      <c r="Z7" s="57">
        <v>45840</v>
      </c>
      <c r="AA7" s="57">
        <v>45840</v>
      </c>
      <c r="AB7" s="56" t="s">
        <v>77</v>
      </c>
      <c r="AC7" s="58" t="s">
        <v>78</v>
      </c>
      <c r="AD7" s="63" t="s">
        <v>79</v>
      </c>
      <c r="AE7" s="64" t="s">
        <v>61</v>
      </c>
      <c r="AF7" s="38">
        <f>SUM(M7-45)</f>
        <v>45850</v>
      </c>
      <c r="AG7" s="38">
        <v>45881</v>
      </c>
      <c r="AH7" s="39">
        <f>SUM(U7-2000000)*(40)</f>
        <v>280000000</v>
      </c>
      <c r="AI7" s="39">
        <f>SUM(V7-2000000)*(40)</f>
        <v>284000000</v>
      </c>
      <c r="AJ7" s="40">
        <v>45881</v>
      </c>
      <c r="AK7" s="67" t="str">
        <f t="shared" si="0"/>
        <v>✅</v>
      </c>
      <c r="AL7" s="45" t="s">
        <v>80</v>
      </c>
      <c r="AN7" s="42">
        <f t="shared" si="1"/>
        <v>12</v>
      </c>
      <c r="AO7" s="42">
        <v>1</v>
      </c>
      <c r="AP7" s="42">
        <f t="shared" si="7"/>
        <v>13</v>
      </c>
    </row>
    <row r="8" spans="1:42" ht="19.95" customHeight="1">
      <c r="B8" s="42">
        <f t="shared" si="2"/>
        <v>6</v>
      </c>
      <c r="C8" s="66" t="s">
        <v>152</v>
      </c>
      <c r="D8" s="43">
        <v>45756</v>
      </c>
      <c r="E8" s="44" t="s">
        <v>224</v>
      </c>
      <c r="F8" s="46" t="s">
        <v>81</v>
      </c>
      <c r="G8" s="46" t="s">
        <v>81</v>
      </c>
      <c r="H8" s="62" t="s">
        <v>82</v>
      </c>
      <c r="I8" s="45" t="s">
        <v>83</v>
      </c>
      <c r="J8" s="45" t="s">
        <v>40</v>
      </c>
      <c r="K8" s="46" t="s">
        <v>41</v>
      </c>
      <c r="L8" s="47" t="s">
        <v>42</v>
      </c>
      <c r="M8" s="48">
        <v>45899</v>
      </c>
      <c r="N8" s="49">
        <v>45899</v>
      </c>
      <c r="O8" s="49">
        <v>45922</v>
      </c>
      <c r="P8" s="50">
        <v>45923</v>
      </c>
      <c r="Q8" s="51" t="s">
        <v>43</v>
      </c>
      <c r="R8" s="47" t="s">
        <v>44</v>
      </c>
      <c r="S8" s="47">
        <f t="shared" si="6"/>
        <v>25</v>
      </c>
      <c r="T8" s="52">
        <v>40</v>
      </c>
      <c r="U8" s="82">
        <v>9000000</v>
      </c>
      <c r="V8" s="54">
        <v>9100000</v>
      </c>
      <c r="W8" s="56">
        <f t="shared" si="3"/>
        <v>360000000</v>
      </c>
      <c r="X8" s="56">
        <f t="shared" si="4"/>
        <v>364000000</v>
      </c>
      <c r="Y8" s="56">
        <f t="shared" ref="Y8:Y17" si="8">W8*10%</f>
        <v>36000000</v>
      </c>
      <c r="Z8" s="57">
        <f>D8+10</f>
        <v>45766</v>
      </c>
      <c r="AA8" s="57"/>
      <c r="AB8" s="56">
        <f>W8*10%</f>
        <v>36000000</v>
      </c>
      <c r="AC8" s="58">
        <f>D8+45</f>
        <v>45801</v>
      </c>
      <c r="AD8" s="63"/>
      <c r="AE8" s="64">
        <f t="shared" si="5"/>
        <v>45869</v>
      </c>
      <c r="AF8" s="60">
        <f>AE8-6</f>
        <v>45863</v>
      </c>
      <c r="AG8" s="38">
        <f t="shared" ref="AG8:AG17" si="9">SUM(M8-16)</f>
        <v>45883</v>
      </c>
      <c r="AH8" s="65">
        <f t="shared" ref="AH8:AI8" si="10">W8*80%</f>
        <v>288000000</v>
      </c>
      <c r="AI8" s="39">
        <f t="shared" si="10"/>
        <v>291200000</v>
      </c>
      <c r="AJ8" s="90">
        <v>45884</v>
      </c>
      <c r="AK8" s="67" t="str">
        <f t="shared" si="0"/>
        <v>✅</v>
      </c>
      <c r="AL8" s="45" t="s">
        <v>45</v>
      </c>
      <c r="AN8" s="42">
        <f t="shared" si="1"/>
        <v>24</v>
      </c>
      <c r="AO8" s="42">
        <v>1</v>
      </c>
      <c r="AP8" s="42">
        <f t="shared" si="7"/>
        <v>25</v>
      </c>
    </row>
    <row r="9" spans="1:42" ht="19.95" customHeight="1">
      <c r="B9" s="42">
        <f t="shared" si="2"/>
        <v>7</v>
      </c>
      <c r="C9" s="66" t="s">
        <v>153</v>
      </c>
      <c r="D9" s="43">
        <v>45820</v>
      </c>
      <c r="E9" s="71" t="s">
        <v>222</v>
      </c>
      <c r="F9" s="46" t="s">
        <v>47</v>
      </c>
      <c r="G9" s="46" t="s">
        <v>48</v>
      </c>
      <c r="H9" s="62" t="s">
        <v>84</v>
      </c>
      <c r="I9" s="45" t="s">
        <v>85</v>
      </c>
      <c r="J9" s="45" t="s">
        <v>86</v>
      </c>
      <c r="K9" s="46" t="s">
        <v>87</v>
      </c>
      <c r="L9" s="47" t="s">
        <v>88</v>
      </c>
      <c r="M9" s="48">
        <v>45902</v>
      </c>
      <c r="N9" s="49">
        <v>45902</v>
      </c>
      <c r="O9" s="49">
        <v>45925</v>
      </c>
      <c r="P9" s="50">
        <v>45926</v>
      </c>
      <c r="Q9" s="51" t="s">
        <v>89</v>
      </c>
      <c r="R9" s="47" t="s">
        <v>90</v>
      </c>
      <c r="S9" s="47">
        <f t="shared" si="6"/>
        <v>25</v>
      </c>
      <c r="T9" s="52">
        <v>40</v>
      </c>
      <c r="U9" s="53" t="s">
        <v>91</v>
      </c>
      <c r="V9" s="53" t="s">
        <v>91</v>
      </c>
      <c r="W9" s="56"/>
      <c r="X9" s="56"/>
      <c r="Y9" s="91" t="s">
        <v>92</v>
      </c>
      <c r="Z9" s="57">
        <v>45818</v>
      </c>
      <c r="AA9" s="57">
        <v>45818</v>
      </c>
      <c r="AB9" s="91">
        <v>271436500</v>
      </c>
      <c r="AC9" s="58" t="s">
        <v>62</v>
      </c>
      <c r="AD9" s="63" t="s">
        <v>62</v>
      </c>
      <c r="AE9" s="64">
        <f>M9-45</f>
        <v>45857</v>
      </c>
      <c r="AF9" s="60">
        <v>45855</v>
      </c>
      <c r="AG9" s="38">
        <f>SUM(M9-16)</f>
        <v>45886</v>
      </c>
      <c r="AH9" s="65" t="s">
        <v>93</v>
      </c>
      <c r="AI9" s="39"/>
      <c r="AJ9" s="90">
        <v>45889</v>
      </c>
      <c r="AK9" s="67" t="str">
        <f t="shared" si="0"/>
        <v>✅</v>
      </c>
      <c r="AL9" s="45" t="s">
        <v>94</v>
      </c>
      <c r="AN9" s="42">
        <f t="shared" si="1"/>
        <v>24</v>
      </c>
      <c r="AO9" s="42">
        <v>1</v>
      </c>
      <c r="AP9" s="42">
        <f t="shared" si="7"/>
        <v>25</v>
      </c>
    </row>
    <row r="10" spans="1:42" ht="19.95" customHeight="1">
      <c r="B10" s="42">
        <f t="shared" si="2"/>
        <v>8</v>
      </c>
      <c r="C10" s="66" t="s">
        <v>154</v>
      </c>
      <c r="D10" s="43">
        <v>45820</v>
      </c>
      <c r="E10" s="44" t="s">
        <v>223</v>
      </c>
      <c r="F10" s="46" t="s">
        <v>47</v>
      </c>
      <c r="G10" s="46" t="s">
        <v>48</v>
      </c>
      <c r="H10" s="62" t="s">
        <v>84</v>
      </c>
      <c r="I10" s="45" t="s">
        <v>95</v>
      </c>
      <c r="J10" s="45" t="s">
        <v>86</v>
      </c>
      <c r="K10" s="46" t="s">
        <v>87</v>
      </c>
      <c r="L10" s="47" t="s">
        <v>88</v>
      </c>
      <c r="M10" s="48">
        <v>45902</v>
      </c>
      <c r="N10" s="49">
        <v>45902</v>
      </c>
      <c r="O10" s="49">
        <v>45925</v>
      </c>
      <c r="P10" s="50">
        <v>45926</v>
      </c>
      <c r="Q10" s="51" t="s">
        <v>89</v>
      </c>
      <c r="R10" s="47" t="s">
        <v>90</v>
      </c>
      <c r="S10" s="47">
        <f t="shared" si="6"/>
        <v>25</v>
      </c>
      <c r="T10" s="52">
        <v>13</v>
      </c>
      <c r="U10" s="53" t="s">
        <v>91</v>
      </c>
      <c r="V10" s="53" t="s">
        <v>91</v>
      </c>
      <c r="W10" s="56"/>
      <c r="X10" s="56"/>
      <c r="Y10" s="56"/>
      <c r="Z10" s="57"/>
      <c r="AA10" s="57"/>
      <c r="AB10" s="56"/>
      <c r="AC10" s="58"/>
      <c r="AD10" s="63"/>
      <c r="AE10" s="64"/>
      <c r="AF10" s="60"/>
      <c r="AG10" s="38"/>
      <c r="AH10" s="65"/>
      <c r="AI10" s="39"/>
      <c r="AJ10" s="90">
        <v>45889</v>
      </c>
      <c r="AK10" s="67" t="str">
        <f t="shared" si="0"/>
        <v>✅</v>
      </c>
      <c r="AL10" s="45" t="s">
        <v>94</v>
      </c>
      <c r="AN10" s="42">
        <f t="shared" si="1"/>
        <v>24</v>
      </c>
      <c r="AO10" s="42">
        <v>1</v>
      </c>
      <c r="AP10" s="42">
        <f t="shared" si="7"/>
        <v>25</v>
      </c>
    </row>
    <row r="11" spans="1:42" ht="19.95" customHeight="1">
      <c r="B11" s="42">
        <f t="shared" si="2"/>
        <v>9</v>
      </c>
      <c r="C11" s="66" t="s">
        <v>155</v>
      </c>
      <c r="D11" s="43">
        <v>45787</v>
      </c>
      <c r="E11" s="44" t="s">
        <v>224</v>
      </c>
      <c r="F11" s="46" t="s">
        <v>62</v>
      </c>
      <c r="G11" s="46" t="s">
        <v>62</v>
      </c>
      <c r="H11" s="92" t="s">
        <v>84</v>
      </c>
      <c r="I11" s="45" t="s">
        <v>96</v>
      </c>
      <c r="J11" s="45" t="s">
        <v>64</v>
      </c>
      <c r="K11" s="46" t="s">
        <v>65</v>
      </c>
      <c r="L11" s="47" t="s">
        <v>66</v>
      </c>
      <c r="M11" s="48">
        <v>45913</v>
      </c>
      <c r="N11" s="49">
        <v>45913</v>
      </c>
      <c r="O11" s="49">
        <v>45927</v>
      </c>
      <c r="P11" s="50">
        <v>45928</v>
      </c>
      <c r="Q11" s="51" t="s">
        <v>97</v>
      </c>
      <c r="R11" s="47" t="s">
        <v>98</v>
      </c>
      <c r="S11" s="47">
        <v>16</v>
      </c>
      <c r="T11" s="52">
        <v>40</v>
      </c>
      <c r="U11" s="82">
        <v>9000000</v>
      </c>
      <c r="V11" s="54">
        <v>9100000</v>
      </c>
      <c r="W11" s="56">
        <f t="shared" si="3"/>
        <v>360000000</v>
      </c>
      <c r="X11" s="56">
        <f t="shared" si="4"/>
        <v>364000000</v>
      </c>
      <c r="Y11" s="56">
        <v>160000000</v>
      </c>
      <c r="Z11" s="57">
        <v>45758</v>
      </c>
      <c r="AA11" s="57">
        <v>45759</v>
      </c>
      <c r="AB11" s="56" t="s">
        <v>99</v>
      </c>
      <c r="AC11" s="58" t="s">
        <v>100</v>
      </c>
      <c r="AD11" s="58" t="s">
        <v>101</v>
      </c>
      <c r="AE11" s="59">
        <v>45878</v>
      </c>
      <c r="AF11" s="60">
        <v>45878</v>
      </c>
      <c r="AG11" s="38">
        <f t="shared" si="9"/>
        <v>45897</v>
      </c>
      <c r="AH11" s="39">
        <f>SUM(W11-Y11)</f>
        <v>200000000</v>
      </c>
      <c r="AI11" s="39">
        <f>SUM(X11-Y11)</f>
        <v>204000000</v>
      </c>
      <c r="AJ11" s="90">
        <v>45909</v>
      </c>
      <c r="AK11" s="67" t="str">
        <f t="shared" si="0"/>
        <v>✅</v>
      </c>
      <c r="AL11" s="45" t="s">
        <v>69</v>
      </c>
      <c r="AN11" s="42">
        <f t="shared" si="1"/>
        <v>15</v>
      </c>
      <c r="AO11" s="42">
        <v>1</v>
      </c>
      <c r="AP11" s="42">
        <f t="shared" si="7"/>
        <v>16</v>
      </c>
    </row>
    <row r="12" spans="1:42" ht="19.95" customHeight="1">
      <c r="A12">
        <v>10</v>
      </c>
      <c r="B12" s="42">
        <f t="shared" si="2"/>
        <v>10</v>
      </c>
      <c r="C12" s="69" t="s">
        <v>156</v>
      </c>
      <c r="D12" s="70">
        <v>45863</v>
      </c>
      <c r="E12" s="71" t="s">
        <v>222</v>
      </c>
      <c r="F12" s="93" t="s">
        <v>84</v>
      </c>
      <c r="G12" s="93" t="s">
        <v>84</v>
      </c>
      <c r="H12" s="73" t="s">
        <v>84</v>
      </c>
      <c r="I12" s="94" t="s">
        <v>104</v>
      </c>
      <c r="J12" s="45" t="s">
        <v>52</v>
      </c>
      <c r="K12" s="75" t="s">
        <v>53</v>
      </c>
      <c r="L12" s="47" t="s">
        <v>54</v>
      </c>
      <c r="M12" s="76">
        <v>45920</v>
      </c>
      <c r="N12" s="77">
        <v>45920</v>
      </c>
      <c r="O12" s="77">
        <v>45937</v>
      </c>
      <c r="P12" s="78">
        <v>45938</v>
      </c>
      <c r="Q12" s="75" t="s">
        <v>55</v>
      </c>
      <c r="R12" s="79" t="s">
        <v>102</v>
      </c>
      <c r="S12" s="47">
        <f t="shared" ref="S12:S14" si="11">SUM(AP12)</f>
        <v>19</v>
      </c>
      <c r="T12" s="81">
        <v>10</v>
      </c>
      <c r="U12" s="82">
        <v>9000000</v>
      </c>
      <c r="V12" s="54">
        <v>9100000</v>
      </c>
      <c r="W12" s="83">
        <f t="shared" si="3"/>
        <v>90000000</v>
      </c>
      <c r="X12" s="83">
        <f t="shared" si="4"/>
        <v>91000000</v>
      </c>
      <c r="Y12" s="83"/>
      <c r="Z12" s="84"/>
      <c r="AA12" s="84"/>
      <c r="AB12" s="56"/>
      <c r="AC12" s="84"/>
      <c r="AD12" s="84"/>
      <c r="AE12" s="59"/>
      <c r="AF12" s="85"/>
      <c r="AG12" s="61"/>
      <c r="AH12" s="86"/>
      <c r="AI12" s="86"/>
      <c r="AJ12" s="90">
        <v>45908</v>
      </c>
      <c r="AK12" s="67" t="str">
        <f t="shared" si="0"/>
        <v>✅</v>
      </c>
      <c r="AL12" s="45" t="s">
        <v>103</v>
      </c>
      <c r="AM12" s="87"/>
      <c r="AN12" s="42">
        <f t="shared" si="1"/>
        <v>18</v>
      </c>
      <c r="AO12" s="42">
        <v>1</v>
      </c>
      <c r="AP12" s="42">
        <f t="shared" si="7"/>
        <v>19</v>
      </c>
    </row>
    <row r="13" spans="1:42" ht="19.95" customHeight="1">
      <c r="A13">
        <v>8</v>
      </c>
      <c r="B13" s="42">
        <f t="shared" si="2"/>
        <v>11</v>
      </c>
      <c r="C13" s="69" t="s">
        <v>157</v>
      </c>
      <c r="D13" s="70">
        <v>45863</v>
      </c>
      <c r="E13" s="44" t="s">
        <v>223</v>
      </c>
      <c r="F13" s="93" t="s">
        <v>84</v>
      </c>
      <c r="G13" s="93" t="s">
        <v>84</v>
      </c>
      <c r="H13" s="73" t="s">
        <v>84</v>
      </c>
      <c r="I13" s="94" t="s">
        <v>104</v>
      </c>
      <c r="J13" s="45" t="s">
        <v>52</v>
      </c>
      <c r="K13" s="75" t="s">
        <v>53</v>
      </c>
      <c r="L13" s="47" t="s">
        <v>54</v>
      </c>
      <c r="M13" s="76">
        <v>45920</v>
      </c>
      <c r="N13" s="77">
        <v>45920</v>
      </c>
      <c r="O13" s="77">
        <v>45937</v>
      </c>
      <c r="P13" s="78">
        <v>45938</v>
      </c>
      <c r="Q13" s="75" t="s">
        <v>55</v>
      </c>
      <c r="R13" s="79" t="s">
        <v>102</v>
      </c>
      <c r="S13" s="47">
        <f t="shared" si="11"/>
        <v>19</v>
      </c>
      <c r="T13" s="81">
        <v>8</v>
      </c>
      <c r="U13" s="82">
        <v>9000000</v>
      </c>
      <c r="V13" s="54">
        <v>9100000</v>
      </c>
      <c r="W13" s="83">
        <f t="shared" si="3"/>
        <v>72000000</v>
      </c>
      <c r="X13" s="83">
        <f t="shared" si="4"/>
        <v>72800000</v>
      </c>
      <c r="Y13" s="83">
        <f>W13*10%</f>
        <v>7200000</v>
      </c>
      <c r="Z13" s="84">
        <v>45891</v>
      </c>
      <c r="AA13" s="84">
        <v>45884</v>
      </c>
      <c r="AB13" s="56">
        <f>W13*10%</f>
        <v>7200000</v>
      </c>
      <c r="AC13" s="84">
        <v>45891</v>
      </c>
      <c r="AD13" s="84">
        <v>45884</v>
      </c>
      <c r="AE13" s="59">
        <v>45894</v>
      </c>
      <c r="AF13" s="85">
        <f>AE13-5</f>
        <v>45889</v>
      </c>
      <c r="AG13" s="61">
        <f>SUM(M13-16)</f>
        <v>45904</v>
      </c>
      <c r="AH13" s="86">
        <f>W13*80%</f>
        <v>57600000</v>
      </c>
      <c r="AI13" s="86">
        <f>X13*80%</f>
        <v>58240000</v>
      </c>
      <c r="AJ13" s="90">
        <v>45908</v>
      </c>
      <c r="AK13" s="67" t="str">
        <f t="shared" si="0"/>
        <v>✅</v>
      </c>
      <c r="AL13" s="45" t="s">
        <v>103</v>
      </c>
      <c r="AM13" s="87"/>
      <c r="AN13" s="42">
        <f t="shared" si="1"/>
        <v>18</v>
      </c>
      <c r="AO13" s="42">
        <v>1</v>
      </c>
      <c r="AP13" s="42">
        <f t="shared" si="7"/>
        <v>19</v>
      </c>
    </row>
    <row r="14" spans="1:42" ht="19.95" customHeight="1">
      <c r="A14">
        <v>2</v>
      </c>
      <c r="B14" s="42">
        <f t="shared" si="2"/>
        <v>12</v>
      </c>
      <c r="C14" s="69" t="s">
        <v>158</v>
      </c>
      <c r="D14" s="70">
        <v>45863</v>
      </c>
      <c r="E14" s="44" t="s">
        <v>224</v>
      </c>
      <c r="F14" s="93" t="s">
        <v>84</v>
      </c>
      <c r="G14" s="93" t="s">
        <v>84</v>
      </c>
      <c r="H14" s="73" t="s">
        <v>84</v>
      </c>
      <c r="I14" s="94" t="s">
        <v>104</v>
      </c>
      <c r="J14" s="45" t="s">
        <v>52</v>
      </c>
      <c r="K14" s="75" t="s">
        <v>53</v>
      </c>
      <c r="L14" s="47" t="s">
        <v>54</v>
      </c>
      <c r="M14" s="76">
        <v>45920</v>
      </c>
      <c r="N14" s="77">
        <v>45920</v>
      </c>
      <c r="O14" s="77">
        <v>45937</v>
      </c>
      <c r="P14" s="78">
        <v>45938</v>
      </c>
      <c r="Q14" s="75" t="s">
        <v>55</v>
      </c>
      <c r="R14" s="79" t="s">
        <v>102</v>
      </c>
      <c r="S14" s="47">
        <f t="shared" si="11"/>
        <v>19</v>
      </c>
      <c r="T14" s="81">
        <v>2</v>
      </c>
      <c r="U14" s="82">
        <v>9000000</v>
      </c>
      <c r="V14" s="54">
        <v>9100000</v>
      </c>
      <c r="W14" s="83">
        <f t="shared" si="3"/>
        <v>18000000</v>
      </c>
      <c r="X14" s="83">
        <f t="shared" si="4"/>
        <v>18200000</v>
      </c>
      <c r="Y14" s="83"/>
      <c r="Z14" s="84"/>
      <c r="AA14" s="84"/>
      <c r="AB14" s="56"/>
      <c r="AC14" s="84"/>
      <c r="AD14" s="84"/>
      <c r="AE14" s="59"/>
      <c r="AF14" s="85"/>
      <c r="AG14" s="61"/>
      <c r="AH14" s="86"/>
      <c r="AI14" s="86"/>
      <c r="AJ14" s="90">
        <v>45908</v>
      </c>
      <c r="AK14" s="67" t="str">
        <f t="shared" si="0"/>
        <v>✅</v>
      </c>
      <c r="AL14" s="45" t="s">
        <v>103</v>
      </c>
      <c r="AM14" s="87"/>
      <c r="AN14" s="42">
        <f t="shared" si="1"/>
        <v>18</v>
      </c>
      <c r="AO14" s="42">
        <v>1</v>
      </c>
      <c r="AP14" s="42">
        <f t="shared" si="7"/>
        <v>19</v>
      </c>
    </row>
    <row r="15" spans="1:42" ht="19.95" customHeight="1">
      <c r="B15" s="42">
        <f t="shared" si="2"/>
        <v>13</v>
      </c>
      <c r="C15" s="66" t="s">
        <v>159</v>
      </c>
      <c r="D15" s="98">
        <v>45883</v>
      </c>
      <c r="E15" s="71" t="s">
        <v>222</v>
      </c>
      <c r="F15" s="46" t="s">
        <v>106</v>
      </c>
      <c r="G15" s="46" t="s">
        <v>106</v>
      </c>
      <c r="H15" s="62" t="s">
        <v>107</v>
      </c>
      <c r="I15" s="45" t="s">
        <v>108</v>
      </c>
      <c r="J15" s="45" t="s">
        <v>86</v>
      </c>
      <c r="K15" s="46" t="s">
        <v>87</v>
      </c>
      <c r="L15" s="47" t="s">
        <v>88</v>
      </c>
      <c r="M15" s="99">
        <v>45943</v>
      </c>
      <c r="N15" s="100">
        <v>45943</v>
      </c>
      <c r="O15" s="100">
        <v>45964</v>
      </c>
      <c r="P15" s="101">
        <v>45965</v>
      </c>
      <c r="Q15" s="51" t="s">
        <v>89</v>
      </c>
      <c r="R15" s="47" t="s">
        <v>109</v>
      </c>
      <c r="S15" s="47">
        <f t="shared" si="6"/>
        <v>23</v>
      </c>
      <c r="T15" s="52">
        <v>35</v>
      </c>
      <c r="U15" s="102">
        <v>3800</v>
      </c>
      <c r="V15" s="102">
        <v>3800</v>
      </c>
      <c r="W15" s="102">
        <f>V15*T15</f>
        <v>133000</v>
      </c>
      <c r="X15" s="102">
        <f>U15*T15</f>
        <v>133000</v>
      </c>
      <c r="Y15" s="102">
        <v>26600</v>
      </c>
      <c r="Z15" s="57" t="s">
        <v>61</v>
      </c>
      <c r="AA15" s="57" t="s">
        <v>61</v>
      </c>
      <c r="AB15" s="56" t="s">
        <v>101</v>
      </c>
      <c r="AC15" s="58" t="s">
        <v>101</v>
      </c>
      <c r="AD15" s="58" t="s">
        <v>101</v>
      </c>
      <c r="AE15" s="59">
        <f>M15-35</f>
        <v>45908</v>
      </c>
      <c r="AF15" s="60">
        <f>M15-35</f>
        <v>45908</v>
      </c>
      <c r="AG15" s="38" t="s">
        <v>110</v>
      </c>
      <c r="AH15" s="102">
        <v>125400</v>
      </c>
      <c r="AI15" s="102">
        <v>125400</v>
      </c>
      <c r="AJ15" s="90">
        <v>45936</v>
      </c>
      <c r="AK15" s="67" t="str">
        <f t="shared" si="0"/>
        <v>✅</v>
      </c>
      <c r="AL15" s="45" t="s">
        <v>111</v>
      </c>
      <c r="AN15" s="42">
        <f t="shared" si="1"/>
        <v>22</v>
      </c>
      <c r="AO15" s="42">
        <v>1</v>
      </c>
      <c r="AP15" s="42">
        <f t="shared" si="7"/>
        <v>23</v>
      </c>
    </row>
    <row r="16" spans="1:42" ht="19.95" customHeight="1">
      <c r="B16" s="42">
        <f t="shared" si="2"/>
        <v>14</v>
      </c>
      <c r="C16" s="66" t="s">
        <v>160</v>
      </c>
      <c r="D16" s="98">
        <v>45883</v>
      </c>
      <c r="E16" s="44" t="s">
        <v>223</v>
      </c>
      <c r="F16" s="46" t="s">
        <v>106</v>
      </c>
      <c r="G16" s="46" t="s">
        <v>106</v>
      </c>
      <c r="H16" s="62" t="s">
        <v>107</v>
      </c>
      <c r="I16" s="45" t="s">
        <v>112</v>
      </c>
      <c r="J16" s="45" t="s">
        <v>86</v>
      </c>
      <c r="K16" s="46" t="s">
        <v>87</v>
      </c>
      <c r="L16" s="47" t="s">
        <v>88</v>
      </c>
      <c r="M16" s="99">
        <v>45943</v>
      </c>
      <c r="N16" s="100">
        <v>45943</v>
      </c>
      <c r="O16" s="100">
        <v>45964</v>
      </c>
      <c r="P16" s="101">
        <v>45965</v>
      </c>
      <c r="Q16" s="51" t="s">
        <v>89</v>
      </c>
      <c r="R16" s="47" t="s">
        <v>109</v>
      </c>
      <c r="S16" s="47">
        <f t="shared" si="6"/>
        <v>23</v>
      </c>
      <c r="T16" s="52">
        <v>30</v>
      </c>
      <c r="U16" s="102">
        <v>3800</v>
      </c>
      <c r="V16" s="102">
        <v>3800</v>
      </c>
      <c r="W16" s="102">
        <f>V16*T16</f>
        <v>114000</v>
      </c>
      <c r="X16" s="102">
        <f>U16*T16</f>
        <v>114000</v>
      </c>
      <c r="Y16" s="102">
        <v>26600</v>
      </c>
      <c r="Z16" s="57" t="s">
        <v>61</v>
      </c>
      <c r="AA16" s="57" t="s">
        <v>61</v>
      </c>
      <c r="AB16" s="56" t="s">
        <v>101</v>
      </c>
      <c r="AC16" s="58" t="s">
        <v>101</v>
      </c>
      <c r="AD16" s="58" t="s">
        <v>101</v>
      </c>
      <c r="AE16" s="59">
        <f>M16-35</f>
        <v>45908</v>
      </c>
      <c r="AF16" s="60">
        <f>M16-35</f>
        <v>45908</v>
      </c>
      <c r="AG16" s="38" t="s">
        <v>110</v>
      </c>
      <c r="AH16" s="102">
        <v>125400</v>
      </c>
      <c r="AI16" s="102">
        <v>125400</v>
      </c>
      <c r="AJ16" s="90">
        <v>45937</v>
      </c>
      <c r="AK16" s="67" t="str">
        <f t="shared" si="0"/>
        <v>✅</v>
      </c>
      <c r="AL16" s="45" t="s">
        <v>111</v>
      </c>
      <c r="AN16" s="42">
        <f t="shared" si="1"/>
        <v>22</v>
      </c>
      <c r="AO16" s="42">
        <v>1</v>
      </c>
      <c r="AP16" s="42">
        <f t="shared" si="7"/>
        <v>23</v>
      </c>
    </row>
    <row r="17" spans="2:42" ht="19.95" customHeight="1">
      <c r="B17" s="42">
        <f t="shared" si="2"/>
        <v>15</v>
      </c>
      <c r="C17" s="47" t="s">
        <v>161</v>
      </c>
      <c r="D17" s="43">
        <v>45756</v>
      </c>
      <c r="E17" s="44" t="s">
        <v>224</v>
      </c>
      <c r="F17" s="44" t="s">
        <v>117</v>
      </c>
      <c r="G17" s="44" t="s">
        <v>117</v>
      </c>
      <c r="H17" s="103" t="s">
        <v>118</v>
      </c>
      <c r="I17" s="46" t="s">
        <v>119</v>
      </c>
      <c r="J17" s="45" t="s">
        <v>40</v>
      </c>
      <c r="K17" s="46" t="s">
        <v>113</v>
      </c>
      <c r="L17" s="47" t="s">
        <v>42</v>
      </c>
      <c r="M17" s="50">
        <v>46056</v>
      </c>
      <c r="N17" s="49">
        <v>46056</v>
      </c>
      <c r="O17" s="49">
        <v>46065</v>
      </c>
      <c r="P17" s="50">
        <v>46066</v>
      </c>
      <c r="Q17" s="51" t="s">
        <v>43</v>
      </c>
      <c r="R17" s="47" t="s">
        <v>105</v>
      </c>
      <c r="S17" s="47">
        <f t="shared" si="6"/>
        <v>11</v>
      </c>
      <c r="T17" s="52">
        <v>13</v>
      </c>
      <c r="U17" s="82">
        <v>9000000</v>
      </c>
      <c r="V17" s="54">
        <v>9100000</v>
      </c>
      <c r="W17" s="56">
        <f t="shared" ref="W17:W18" si="12">U17*T17</f>
        <v>117000000</v>
      </c>
      <c r="X17" s="56">
        <f t="shared" ref="X17" si="13">V17*T17</f>
        <v>118300000</v>
      </c>
      <c r="Y17" s="56">
        <f t="shared" si="8"/>
        <v>11700000</v>
      </c>
      <c r="Z17" s="57">
        <f t="shared" ref="Z17:Z20" si="14">D17+10</f>
        <v>45766</v>
      </c>
      <c r="AA17" s="57"/>
      <c r="AB17" s="56">
        <f>W17*10%</f>
        <v>11700000</v>
      </c>
      <c r="AC17" s="58">
        <f t="shared" ref="AC17:AC20" si="15">D17+90</f>
        <v>45846</v>
      </c>
      <c r="AD17" s="58"/>
      <c r="AE17" s="59">
        <f>M17-30</f>
        <v>46026</v>
      </c>
      <c r="AF17" s="60">
        <v>46021</v>
      </c>
      <c r="AG17" s="38">
        <f t="shared" si="9"/>
        <v>46040</v>
      </c>
      <c r="AH17" s="39">
        <f t="shared" ref="AH17:AI17" si="16">W17*80%</f>
        <v>93600000</v>
      </c>
      <c r="AI17" s="39">
        <f t="shared" si="16"/>
        <v>94640000</v>
      </c>
      <c r="AJ17" s="96" t="s">
        <v>46</v>
      </c>
      <c r="AK17" s="97"/>
      <c r="AL17" s="45" t="s">
        <v>45</v>
      </c>
      <c r="AN17" s="42">
        <f t="shared" ref="AN17:AN22" si="17">DATEDIF(M17,P17,"d")</f>
        <v>10</v>
      </c>
      <c r="AO17" s="42">
        <v>1</v>
      </c>
      <c r="AP17" s="42">
        <f t="shared" ref="AP17:AP19" si="18">AN17+AO17</f>
        <v>11</v>
      </c>
    </row>
    <row r="18" spans="2:42" ht="19.95" customHeight="1">
      <c r="B18" s="42">
        <f t="shared" si="2"/>
        <v>16</v>
      </c>
      <c r="C18" s="47" t="s">
        <v>162</v>
      </c>
      <c r="D18" s="43">
        <v>45887</v>
      </c>
      <c r="E18" s="71" t="s">
        <v>222</v>
      </c>
      <c r="F18" s="44" t="s">
        <v>120</v>
      </c>
      <c r="G18" s="44" t="s">
        <v>120</v>
      </c>
      <c r="H18" s="103" t="s">
        <v>121</v>
      </c>
      <c r="I18" s="46" t="s">
        <v>122</v>
      </c>
      <c r="J18" s="45" t="s">
        <v>40</v>
      </c>
      <c r="K18" s="46" t="s">
        <v>113</v>
      </c>
      <c r="L18" s="47" t="s">
        <v>42</v>
      </c>
      <c r="M18" s="50">
        <v>46056</v>
      </c>
      <c r="N18" s="49">
        <v>46056</v>
      </c>
      <c r="O18" s="49">
        <v>46065</v>
      </c>
      <c r="P18" s="50">
        <v>46066</v>
      </c>
      <c r="Q18" s="51" t="s">
        <v>43</v>
      </c>
      <c r="R18" s="47" t="s">
        <v>105</v>
      </c>
      <c r="S18" s="47">
        <f t="shared" si="6"/>
        <v>11</v>
      </c>
      <c r="T18" s="52">
        <v>2</v>
      </c>
      <c r="U18" s="82">
        <v>9000000</v>
      </c>
      <c r="V18" s="54">
        <v>9100000</v>
      </c>
      <c r="W18" s="56">
        <f t="shared" si="12"/>
        <v>18000000</v>
      </c>
      <c r="X18" s="56"/>
      <c r="Y18" s="56"/>
      <c r="Z18" s="57">
        <f t="shared" si="14"/>
        <v>45897</v>
      </c>
      <c r="AA18" s="57"/>
      <c r="AB18" s="56"/>
      <c r="AC18" s="58">
        <f t="shared" si="15"/>
        <v>45977</v>
      </c>
      <c r="AD18" s="58"/>
      <c r="AE18" s="59"/>
      <c r="AF18" s="60"/>
      <c r="AG18" s="38"/>
      <c r="AH18" s="39"/>
      <c r="AI18" s="39"/>
      <c r="AJ18" s="96"/>
      <c r="AK18" s="97"/>
      <c r="AL18" s="45" t="s">
        <v>45</v>
      </c>
      <c r="AN18" s="42">
        <f t="shared" si="17"/>
        <v>10</v>
      </c>
      <c r="AO18" s="42">
        <v>1</v>
      </c>
      <c r="AP18" s="42">
        <f t="shared" si="18"/>
        <v>11</v>
      </c>
    </row>
    <row r="19" spans="2:42" ht="19.95" customHeight="1">
      <c r="B19" s="42">
        <f t="shared" si="2"/>
        <v>17</v>
      </c>
      <c r="C19" s="47" t="s">
        <v>163</v>
      </c>
      <c r="D19" s="43">
        <v>45902</v>
      </c>
      <c r="E19" s="44" t="s">
        <v>223</v>
      </c>
      <c r="F19" s="44" t="s">
        <v>123</v>
      </c>
      <c r="G19" s="44" t="s">
        <v>123</v>
      </c>
      <c r="H19" s="103" t="s">
        <v>124</v>
      </c>
      <c r="I19" s="46" t="s">
        <v>125</v>
      </c>
      <c r="J19" s="45" t="s">
        <v>40</v>
      </c>
      <c r="K19" s="46" t="s">
        <v>113</v>
      </c>
      <c r="L19" s="47" t="s">
        <v>42</v>
      </c>
      <c r="M19" s="50">
        <v>46056</v>
      </c>
      <c r="N19" s="49">
        <v>46056</v>
      </c>
      <c r="O19" s="49">
        <v>46065</v>
      </c>
      <c r="P19" s="50">
        <v>46066</v>
      </c>
      <c r="Q19" s="51" t="s">
        <v>43</v>
      </c>
      <c r="R19" s="47" t="s">
        <v>105</v>
      </c>
      <c r="S19" s="47">
        <f t="shared" ref="S19:S20" si="19">SUM(AP19)</f>
        <v>11</v>
      </c>
      <c r="T19" s="52">
        <v>1</v>
      </c>
      <c r="U19" s="82">
        <v>9000000</v>
      </c>
      <c r="V19" s="54">
        <v>9100000</v>
      </c>
      <c r="W19" s="56"/>
      <c r="X19" s="56"/>
      <c r="Y19" s="56"/>
      <c r="Z19" s="57">
        <f t="shared" si="14"/>
        <v>45912</v>
      </c>
      <c r="AA19" s="57"/>
      <c r="AB19" s="56"/>
      <c r="AC19" s="58">
        <f t="shared" si="15"/>
        <v>45992</v>
      </c>
      <c r="AD19" s="58"/>
      <c r="AE19" s="59"/>
      <c r="AF19" s="60"/>
      <c r="AG19" s="38"/>
      <c r="AH19" s="39"/>
      <c r="AI19" s="39"/>
      <c r="AJ19" s="96"/>
      <c r="AK19" s="97"/>
      <c r="AL19" s="45" t="s">
        <v>45</v>
      </c>
      <c r="AN19" s="42">
        <f t="shared" si="17"/>
        <v>10</v>
      </c>
      <c r="AO19" s="42">
        <v>1</v>
      </c>
      <c r="AP19" s="42">
        <f t="shared" si="18"/>
        <v>11</v>
      </c>
    </row>
    <row r="20" spans="2:42" ht="19.95" customHeight="1">
      <c r="B20" s="42">
        <f t="shared" si="2"/>
        <v>18</v>
      </c>
      <c r="C20" s="47" t="s">
        <v>164</v>
      </c>
      <c r="D20" s="43">
        <v>45945</v>
      </c>
      <c r="E20" s="71" t="s">
        <v>222</v>
      </c>
      <c r="F20" s="44" t="s">
        <v>126</v>
      </c>
      <c r="G20" s="44" t="s">
        <v>126</v>
      </c>
      <c r="H20" s="103" t="s">
        <v>127</v>
      </c>
      <c r="I20" s="46" t="s">
        <v>122</v>
      </c>
      <c r="J20" s="45" t="s">
        <v>40</v>
      </c>
      <c r="K20" s="46" t="s">
        <v>113</v>
      </c>
      <c r="L20" s="47" t="s">
        <v>42</v>
      </c>
      <c r="M20" s="50">
        <v>46056</v>
      </c>
      <c r="N20" s="49">
        <v>46056</v>
      </c>
      <c r="O20" s="49">
        <v>46065</v>
      </c>
      <c r="P20" s="50">
        <v>46066</v>
      </c>
      <c r="Q20" s="51" t="s">
        <v>43</v>
      </c>
      <c r="R20" s="47" t="s">
        <v>105</v>
      </c>
      <c r="S20" s="47">
        <f t="shared" si="19"/>
        <v>11</v>
      </c>
      <c r="T20" s="52">
        <v>2</v>
      </c>
      <c r="U20" s="82">
        <v>9000000</v>
      </c>
      <c r="V20" s="54">
        <v>9100000</v>
      </c>
      <c r="W20" s="56"/>
      <c r="X20" s="56"/>
      <c r="Y20" s="56"/>
      <c r="Z20" s="57">
        <f t="shared" si="14"/>
        <v>45955</v>
      </c>
      <c r="AA20" s="57"/>
      <c r="AB20" s="56"/>
      <c r="AC20" s="58">
        <f t="shared" si="15"/>
        <v>46035</v>
      </c>
      <c r="AD20" s="58"/>
      <c r="AE20" s="59"/>
      <c r="AF20" s="60"/>
      <c r="AG20" s="38"/>
      <c r="AH20" s="39"/>
      <c r="AI20" s="39"/>
      <c r="AJ20" s="96"/>
      <c r="AK20" s="97"/>
      <c r="AL20" s="45" t="s">
        <v>45</v>
      </c>
      <c r="AN20" s="42">
        <f t="shared" si="17"/>
        <v>10</v>
      </c>
      <c r="AO20" s="42">
        <v>1</v>
      </c>
      <c r="AP20" s="42">
        <f>AN20+AO20</f>
        <v>11</v>
      </c>
    </row>
    <row r="21" spans="2:42" ht="19.95" customHeight="1">
      <c r="B21" s="42">
        <f t="shared" si="2"/>
        <v>19</v>
      </c>
      <c r="C21" s="66" t="s">
        <v>165</v>
      </c>
      <c r="D21" s="104">
        <v>46020</v>
      </c>
      <c r="E21" s="44" t="s">
        <v>223</v>
      </c>
      <c r="F21" s="74" t="s">
        <v>47</v>
      </c>
      <c r="G21" s="74" t="s">
        <v>48</v>
      </c>
      <c r="H21" s="104"/>
      <c r="I21" s="74" t="s">
        <v>132</v>
      </c>
      <c r="J21" s="45" t="s">
        <v>114</v>
      </c>
      <c r="K21" s="46" t="s">
        <v>115</v>
      </c>
      <c r="L21" s="47" t="s">
        <v>130</v>
      </c>
      <c r="M21" s="50">
        <v>46075</v>
      </c>
      <c r="N21" s="49">
        <v>46103</v>
      </c>
      <c r="O21" s="49">
        <v>46103</v>
      </c>
      <c r="P21" s="50">
        <v>46104</v>
      </c>
      <c r="Q21" s="51" t="s">
        <v>131</v>
      </c>
      <c r="R21" s="47" t="s">
        <v>116</v>
      </c>
      <c r="S21" s="47">
        <v>1</v>
      </c>
      <c r="T21" s="52">
        <v>35</v>
      </c>
      <c r="U21" s="82">
        <v>9000000</v>
      </c>
      <c r="V21" s="54">
        <v>9100000</v>
      </c>
      <c r="W21" s="56">
        <f t="shared" ref="W21:W22" si="20">U21*T21</f>
        <v>315000000</v>
      </c>
      <c r="X21" s="56"/>
      <c r="Y21" s="56"/>
      <c r="Z21" s="57">
        <f t="shared" ref="Z21:Z22" si="21">D21+10</f>
        <v>46030</v>
      </c>
      <c r="AA21" s="57"/>
      <c r="AB21" s="56"/>
      <c r="AC21" s="58"/>
      <c r="AD21" s="58"/>
      <c r="AE21" s="59"/>
      <c r="AF21" s="60"/>
      <c r="AG21" s="38"/>
      <c r="AH21" s="39"/>
      <c r="AI21" s="39"/>
      <c r="AJ21" s="96"/>
      <c r="AK21" s="97"/>
      <c r="AL21" s="45" t="s">
        <v>45</v>
      </c>
      <c r="AN21" s="42">
        <f t="shared" si="17"/>
        <v>29</v>
      </c>
      <c r="AO21" s="42">
        <v>1</v>
      </c>
      <c r="AP21" s="42">
        <f t="shared" ref="AP21:AP22" si="22">AN21+AO21</f>
        <v>30</v>
      </c>
    </row>
    <row r="22" spans="2:42" ht="19.95" customHeight="1">
      <c r="B22" s="42">
        <f t="shared" si="2"/>
        <v>20</v>
      </c>
      <c r="C22" s="66" t="s">
        <v>166</v>
      </c>
      <c r="D22" s="104">
        <v>46021</v>
      </c>
      <c r="E22" s="44" t="s">
        <v>224</v>
      </c>
      <c r="F22" s="74" t="s">
        <v>47</v>
      </c>
      <c r="G22" s="74" t="s">
        <v>48</v>
      </c>
      <c r="H22" s="104"/>
      <c r="I22" s="74" t="s">
        <v>133</v>
      </c>
      <c r="J22" s="45" t="s">
        <v>114</v>
      </c>
      <c r="K22" s="46" t="s">
        <v>115</v>
      </c>
      <c r="L22" s="47" t="s">
        <v>130</v>
      </c>
      <c r="M22" s="50">
        <v>46075</v>
      </c>
      <c r="N22" s="49">
        <v>46103</v>
      </c>
      <c r="O22" s="49">
        <v>46103</v>
      </c>
      <c r="P22" s="50">
        <v>46104</v>
      </c>
      <c r="Q22" s="51" t="s">
        <v>131</v>
      </c>
      <c r="R22" s="47" t="s">
        <v>116</v>
      </c>
      <c r="S22" s="47">
        <v>2</v>
      </c>
      <c r="T22" s="52">
        <v>35</v>
      </c>
      <c r="U22" s="82">
        <v>9000000</v>
      </c>
      <c r="V22" s="54">
        <v>9100000</v>
      </c>
      <c r="W22" s="56">
        <f t="shared" si="20"/>
        <v>315000000</v>
      </c>
      <c r="X22" s="56"/>
      <c r="Y22" s="56"/>
      <c r="Z22" s="57">
        <f t="shared" si="21"/>
        <v>46031</v>
      </c>
      <c r="AA22" s="57"/>
      <c r="AB22" s="56"/>
      <c r="AC22" s="58"/>
      <c r="AD22" s="58"/>
      <c r="AE22" s="59"/>
      <c r="AF22" s="60"/>
      <c r="AG22" s="38"/>
      <c r="AH22" s="39"/>
      <c r="AI22" s="39"/>
      <c r="AJ22" s="96"/>
      <c r="AK22" s="97"/>
      <c r="AL22" s="45" t="s">
        <v>45</v>
      </c>
      <c r="AN22" s="42">
        <f t="shared" si="17"/>
        <v>29</v>
      </c>
      <c r="AO22" s="42">
        <v>1</v>
      </c>
      <c r="AP22" s="42">
        <f t="shared" si="22"/>
        <v>30</v>
      </c>
    </row>
    <row r="23" spans="2:42" s="126" customFormat="1" ht="19.95" customHeight="1">
      <c r="B23" s="111"/>
      <c r="C23" s="106"/>
      <c r="D23" s="122"/>
      <c r="E23" s="121"/>
      <c r="F23" s="107"/>
      <c r="G23" s="107"/>
      <c r="H23" s="107"/>
      <c r="I23" s="108"/>
      <c r="J23" s="123"/>
      <c r="K23" s="119"/>
      <c r="L23" s="108"/>
      <c r="M23" s="124"/>
      <c r="N23" s="120"/>
      <c r="O23" s="120"/>
      <c r="P23" s="120"/>
      <c r="Q23" s="119"/>
      <c r="R23" s="121"/>
      <c r="S23" s="108"/>
      <c r="T23" s="121"/>
      <c r="U23" s="125"/>
      <c r="V23" s="109"/>
      <c r="W23" s="105"/>
      <c r="X23" s="105"/>
      <c r="Y23" s="105"/>
      <c r="Z23" s="105"/>
      <c r="AA23" s="105"/>
      <c r="AB23" s="105"/>
      <c r="AC23" s="127"/>
      <c r="AD23" s="105"/>
      <c r="AE23" s="105"/>
      <c r="AF23" s="112"/>
      <c r="AG23" s="112"/>
      <c r="AH23" s="105"/>
      <c r="AI23" s="105"/>
      <c r="AJ23" s="105"/>
      <c r="AK23" s="105"/>
      <c r="AL23" s="128"/>
      <c r="AN23" s="111"/>
      <c r="AO23" s="111"/>
      <c r="AP23" s="111"/>
    </row>
    <row r="24" spans="2:42" ht="19.95" customHeight="1">
      <c r="B24" s="111"/>
      <c r="C24" s="113"/>
      <c r="F24" s="114"/>
      <c r="G24" s="114"/>
      <c r="H24" s="114"/>
      <c r="I24" s="114"/>
      <c r="J24" s="114"/>
      <c r="T24" s="115"/>
      <c r="W24" s="116"/>
      <c r="X24" s="116"/>
      <c r="Y24" s="116"/>
      <c r="Z24" s="116"/>
      <c r="AA24" s="105"/>
      <c r="AB24" s="116"/>
      <c r="AC24" s="117"/>
      <c r="AD24" s="116"/>
      <c r="AE24" s="116"/>
      <c r="AF24" s="118"/>
      <c r="AG24" s="118"/>
      <c r="AH24" s="116"/>
      <c r="AI24" s="116"/>
      <c r="AJ24" s="105"/>
      <c r="AK24" s="105"/>
      <c r="AL24" s="114"/>
      <c r="AN24" s="129"/>
      <c r="AO24" s="129"/>
      <c r="AP24" s="129"/>
    </row>
    <row r="25" spans="2:42" ht="19.95" customHeight="1">
      <c r="B25" s="130" t="s">
        <v>336</v>
      </c>
    </row>
    <row r="26" spans="2:42" ht="60" customHeight="1" thickBot="1">
      <c r="B26" s="2" t="s">
        <v>3</v>
      </c>
      <c r="C26" s="3" t="s">
        <v>4</v>
      </c>
      <c r="D26" s="4" t="s">
        <v>139</v>
      </c>
      <c r="E26" s="5" t="s">
        <v>6</v>
      </c>
      <c r="F26" s="5" t="s">
        <v>7</v>
      </c>
      <c r="G26" s="5" t="s">
        <v>8</v>
      </c>
      <c r="H26" s="5" t="s">
        <v>9</v>
      </c>
      <c r="I26" s="6" t="s">
        <v>10</v>
      </c>
      <c r="J26" s="6" t="s">
        <v>11</v>
      </c>
      <c r="K26" s="7" t="s">
        <v>12</v>
      </c>
      <c r="L26" s="7" t="s">
        <v>13</v>
      </c>
      <c r="M26" s="8" t="s">
        <v>14</v>
      </c>
      <c r="N26" s="7" t="s">
        <v>15</v>
      </c>
      <c r="O26" s="7" t="s">
        <v>16</v>
      </c>
      <c r="P26" s="8" t="s">
        <v>17</v>
      </c>
      <c r="Q26" s="7" t="s">
        <v>13</v>
      </c>
      <c r="R26" s="7" t="s">
        <v>12</v>
      </c>
      <c r="S26" s="6" t="s">
        <v>18</v>
      </c>
      <c r="T26" s="9" t="s">
        <v>19</v>
      </c>
      <c r="U26" s="9" t="s">
        <v>20</v>
      </c>
      <c r="V26" s="9" t="s">
        <v>21</v>
      </c>
      <c r="W26" s="10" t="s">
        <v>22</v>
      </c>
      <c r="X26" s="10" t="s">
        <v>23</v>
      </c>
      <c r="Y26" s="11" t="s">
        <v>24</v>
      </c>
      <c r="Z26" s="12" t="s">
        <v>25</v>
      </c>
      <c r="AA26" s="12" t="s">
        <v>26</v>
      </c>
      <c r="AB26" s="11" t="s">
        <v>27</v>
      </c>
      <c r="AC26" s="13" t="s">
        <v>28</v>
      </c>
      <c r="AD26" s="13" t="s">
        <v>29</v>
      </c>
      <c r="AE26" s="14" t="s">
        <v>30</v>
      </c>
      <c r="AF26" s="12" t="s">
        <v>31</v>
      </c>
      <c r="AG26" s="15" t="s">
        <v>32</v>
      </c>
      <c r="AH26" s="131" t="s">
        <v>33</v>
      </c>
      <c r="AI26" s="131" t="s">
        <v>34</v>
      </c>
      <c r="AJ26" s="336" t="s">
        <v>35</v>
      </c>
      <c r="AK26" s="337"/>
      <c r="AL26" s="17" t="s">
        <v>36</v>
      </c>
      <c r="AN26" s="18" t="s">
        <v>37</v>
      </c>
      <c r="AO26" s="18" t="s">
        <v>38</v>
      </c>
      <c r="AP26" s="18" t="s">
        <v>39</v>
      </c>
    </row>
    <row r="27" spans="2:42" ht="19.95" customHeight="1" thickTop="1">
      <c r="B27" s="19">
        <v>1</v>
      </c>
      <c r="C27" s="132" t="s">
        <v>167</v>
      </c>
      <c r="D27" s="20">
        <v>45809</v>
      </c>
      <c r="E27" s="21"/>
      <c r="F27" s="24"/>
      <c r="G27" s="24"/>
      <c r="H27" s="29"/>
      <c r="I27" s="45" t="s">
        <v>140</v>
      </c>
      <c r="J27" s="23" t="s">
        <v>40</v>
      </c>
      <c r="K27" s="24" t="s">
        <v>41</v>
      </c>
      <c r="L27" s="25" t="s">
        <v>42</v>
      </c>
      <c r="M27" s="26">
        <v>46151</v>
      </c>
      <c r="N27" s="27">
        <v>46151</v>
      </c>
      <c r="O27" s="27">
        <v>46174</v>
      </c>
      <c r="P27" s="28">
        <v>46175</v>
      </c>
      <c r="Q27" s="29" t="s">
        <v>43</v>
      </c>
      <c r="R27" s="25" t="s">
        <v>44</v>
      </c>
      <c r="S27" s="25">
        <f>SUM(AP27)</f>
        <v>25</v>
      </c>
      <c r="T27" s="30">
        <v>45</v>
      </c>
      <c r="U27" s="31">
        <v>60</v>
      </c>
      <c r="V27" s="32">
        <v>45</v>
      </c>
      <c r="W27" s="33"/>
      <c r="X27" s="33"/>
      <c r="Y27" s="33"/>
      <c r="Z27" s="34"/>
      <c r="AA27" s="34"/>
      <c r="AB27" s="33"/>
      <c r="AC27" s="35"/>
      <c r="AD27" s="36"/>
      <c r="AE27" s="37"/>
      <c r="AF27" s="133"/>
      <c r="AG27" s="38"/>
      <c r="AH27" s="134"/>
      <c r="AI27" s="134"/>
      <c r="AJ27" s="96"/>
      <c r="AK27" s="1"/>
      <c r="AL27" s="22" t="s">
        <v>45</v>
      </c>
      <c r="AN27" s="41">
        <f t="shared" ref="AN27:AN28" si="23">DATEDIF(M27,P27,"d")</f>
        <v>24</v>
      </c>
      <c r="AO27" s="41">
        <v>1</v>
      </c>
      <c r="AP27" s="41">
        <f t="shared" ref="AP27:AP28" si="24">AN27+AO27</f>
        <v>25</v>
      </c>
    </row>
    <row r="28" spans="2:42" ht="19.95" customHeight="1">
      <c r="B28" s="42">
        <v>2</v>
      </c>
      <c r="C28" s="66" t="s">
        <v>168</v>
      </c>
      <c r="D28" s="43">
        <v>45841</v>
      </c>
      <c r="E28" s="44"/>
      <c r="F28" s="46"/>
      <c r="G28" s="46"/>
      <c r="H28" s="51"/>
      <c r="I28" s="45" t="s">
        <v>141</v>
      </c>
      <c r="J28" s="45" t="s">
        <v>142</v>
      </c>
      <c r="K28" s="46" t="s">
        <v>143</v>
      </c>
      <c r="L28" s="47" t="s">
        <v>42</v>
      </c>
      <c r="M28" s="48">
        <v>46151</v>
      </c>
      <c r="N28" s="49">
        <v>46151</v>
      </c>
      <c r="O28" s="49">
        <v>46174</v>
      </c>
      <c r="P28" s="50">
        <v>46175</v>
      </c>
      <c r="Q28" s="51" t="s">
        <v>138</v>
      </c>
      <c r="R28" s="47" t="s">
        <v>144</v>
      </c>
      <c r="S28" s="47">
        <f>SUM(AP28)</f>
        <v>25</v>
      </c>
      <c r="T28" s="52">
        <v>65</v>
      </c>
      <c r="U28" s="53">
        <v>75</v>
      </c>
      <c r="V28" s="54">
        <v>45</v>
      </c>
      <c r="W28" s="56"/>
      <c r="X28" s="56"/>
      <c r="Y28" s="56"/>
      <c r="Z28" s="57"/>
      <c r="AA28" s="57"/>
      <c r="AB28" s="56"/>
      <c r="AC28" s="58"/>
      <c r="AD28" s="63"/>
      <c r="AE28" s="64"/>
      <c r="AF28" s="135"/>
      <c r="AG28" s="61"/>
      <c r="AH28" s="136"/>
      <c r="AI28" s="134"/>
      <c r="AJ28" s="96"/>
      <c r="AK28" s="1"/>
      <c r="AL28" s="45"/>
      <c r="AN28" s="42">
        <f t="shared" si="23"/>
        <v>24</v>
      </c>
      <c r="AO28" s="42">
        <v>1</v>
      </c>
      <c r="AP28" s="42">
        <f t="shared" si="24"/>
        <v>25</v>
      </c>
    </row>
    <row r="29" spans="2:42" ht="19.95" customHeight="1">
      <c r="B29" s="42">
        <v>3</v>
      </c>
      <c r="C29" s="66" t="s">
        <v>169</v>
      </c>
      <c r="D29" s="43">
        <v>45809</v>
      </c>
      <c r="E29" s="44"/>
      <c r="F29" s="46"/>
      <c r="G29" s="46"/>
      <c r="H29" s="95"/>
      <c r="I29" s="45" t="s">
        <v>145</v>
      </c>
      <c r="J29" s="45" t="s">
        <v>40</v>
      </c>
      <c r="K29" s="46" t="s">
        <v>41</v>
      </c>
      <c r="L29" s="47" t="s">
        <v>42</v>
      </c>
      <c r="M29" s="48">
        <v>46153</v>
      </c>
      <c r="N29" s="49">
        <v>46153</v>
      </c>
      <c r="O29" s="49">
        <v>46177</v>
      </c>
      <c r="P29" s="50">
        <v>46178</v>
      </c>
      <c r="Q29" s="51" t="s">
        <v>43</v>
      </c>
      <c r="R29" s="47" t="s">
        <v>44</v>
      </c>
      <c r="S29" s="47">
        <f>SUM(AP29)</f>
        <v>26</v>
      </c>
      <c r="T29" s="52">
        <v>45</v>
      </c>
      <c r="U29" s="53">
        <v>60</v>
      </c>
      <c r="V29" s="54">
        <v>45</v>
      </c>
      <c r="W29" s="55"/>
      <c r="X29" s="55"/>
      <c r="Y29" s="56"/>
      <c r="Z29" s="57"/>
      <c r="AA29" s="57"/>
      <c r="AB29" s="56"/>
      <c r="AC29" s="58"/>
      <c r="AD29" s="58"/>
      <c r="AE29" s="59"/>
      <c r="AF29" s="135"/>
      <c r="AG29" s="61"/>
      <c r="AH29" s="134"/>
      <c r="AI29" s="134"/>
      <c r="AJ29" s="96"/>
      <c r="AK29" s="1"/>
      <c r="AL29" s="45" t="s">
        <v>45</v>
      </c>
      <c r="AN29" s="42">
        <f>DATEDIF(M29,P29,"d")</f>
        <v>25</v>
      </c>
      <c r="AO29" s="42">
        <v>1</v>
      </c>
      <c r="AP29" s="42">
        <f>AN29+AO29</f>
        <v>26</v>
      </c>
    </row>
    <row r="30" spans="2:42" ht="19.95" customHeight="1">
      <c r="B30" s="42">
        <v>4</v>
      </c>
      <c r="C30" s="66" t="s">
        <v>47</v>
      </c>
      <c r="D30" s="43">
        <v>45992</v>
      </c>
      <c r="E30" s="44"/>
      <c r="F30" s="46"/>
      <c r="G30" s="46"/>
      <c r="H30" s="95"/>
      <c r="I30" s="45" t="s">
        <v>146</v>
      </c>
      <c r="J30" s="45" t="s">
        <v>142</v>
      </c>
      <c r="K30" s="46" t="s">
        <v>143</v>
      </c>
      <c r="L30" s="47" t="s">
        <v>42</v>
      </c>
      <c r="M30" s="48">
        <v>46160</v>
      </c>
      <c r="N30" s="49">
        <v>46160</v>
      </c>
      <c r="O30" s="49">
        <v>46184</v>
      </c>
      <c r="P30" s="50">
        <v>46185</v>
      </c>
      <c r="Q30" s="51" t="s">
        <v>43</v>
      </c>
      <c r="R30" s="47" t="s">
        <v>144</v>
      </c>
      <c r="S30" s="47">
        <f>SUM(AP30)</f>
        <v>26</v>
      </c>
      <c r="T30" s="52" t="s">
        <v>46</v>
      </c>
      <c r="U30" s="53"/>
      <c r="V30" s="54">
        <v>45</v>
      </c>
      <c r="W30" s="56"/>
      <c r="X30" s="56"/>
      <c r="Y30" s="56"/>
      <c r="Z30" s="57"/>
      <c r="AA30" s="57"/>
      <c r="AB30" s="56"/>
      <c r="AC30" s="58"/>
      <c r="AD30" s="58"/>
      <c r="AE30" s="59"/>
      <c r="AF30" s="135"/>
      <c r="AG30" s="61"/>
      <c r="AH30" s="134"/>
      <c r="AI30" s="134"/>
      <c r="AJ30" s="96"/>
      <c r="AK30" s="1"/>
      <c r="AL30" s="45" t="s">
        <v>45</v>
      </c>
      <c r="AN30" s="42">
        <f>DATEDIF(M30,P30,"d")</f>
        <v>25</v>
      </c>
      <c r="AO30" s="42">
        <v>1</v>
      </c>
      <c r="AP30" s="42">
        <f>AN30+AO30</f>
        <v>26</v>
      </c>
    </row>
    <row r="32" spans="2:42" ht="19.95" customHeight="1">
      <c r="T32" s="137">
        <f>SUM(T27:T31)</f>
        <v>155</v>
      </c>
      <c r="V32" s="137">
        <f>SUM(V27:V31)</f>
        <v>180</v>
      </c>
    </row>
  </sheetData>
  <autoFilter ref="A2:AP22" xr:uid="{7E3F3483-BC63-4B69-8668-38E3E02960FC}"/>
  <mergeCells count="2">
    <mergeCell ref="AJ2:AK2"/>
    <mergeCell ref="AJ26:AK26"/>
  </mergeCells>
  <pageMargins left="0.19685039370078741" right="0.19685039370078741" top="0.19685039370078741" bottom="0.19685039370078741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817A4-9C02-4549-91A9-2DADA8E5DF26}">
  <dimension ref="B1:S29"/>
  <sheetViews>
    <sheetView zoomScale="108" zoomScaleNormal="75" workbookViewId="0">
      <selection activeCell="J18" sqref="J18"/>
    </sheetView>
  </sheetViews>
  <sheetFormatPr defaultColWidth="9.109375" defaultRowHeight="15" customHeight="1"/>
  <cols>
    <col min="1" max="1" width="3.77734375" style="139" customWidth="1"/>
    <col min="2" max="2" width="6.44140625" style="138" customWidth="1"/>
    <col min="3" max="3" width="11.5546875" style="139" customWidth="1"/>
    <col min="4" max="4" width="12.21875" style="139" customWidth="1"/>
    <col min="5" max="6" width="10.77734375" style="139" customWidth="1"/>
    <col min="7" max="7" width="15.77734375" style="138" customWidth="1"/>
    <col min="8" max="8" width="10.77734375" style="138" customWidth="1"/>
    <col min="9" max="9" width="6.77734375" style="138" customWidth="1"/>
    <col min="10" max="10" width="45.77734375" style="139" customWidth="1"/>
    <col min="11" max="11" width="15" style="139" customWidth="1"/>
    <col min="12" max="12" width="15.77734375" style="139" customWidth="1"/>
    <col min="13" max="13" width="2" style="139" customWidth="1"/>
    <col min="14" max="14" width="16.109375" style="138" customWidth="1"/>
    <col min="15" max="15" width="14.77734375" style="138" customWidth="1"/>
    <col min="16" max="16" width="24" style="138" customWidth="1"/>
    <col min="17" max="17" width="17.77734375" style="138" customWidth="1"/>
    <col min="18" max="18" width="14.77734375" style="139" customWidth="1"/>
    <col min="19" max="16384" width="9.109375" style="139"/>
  </cols>
  <sheetData>
    <row r="1" spans="2:19" ht="15" customHeight="1">
      <c r="H1" s="140"/>
    </row>
    <row r="2" spans="2:19" ht="15" customHeight="1">
      <c r="B2" s="350" t="s">
        <v>173</v>
      </c>
      <c r="C2" s="351"/>
      <c r="D2" s="352">
        <v>46021</v>
      </c>
      <c r="E2" s="351"/>
      <c r="H2" s="140"/>
    </row>
    <row r="3" spans="2:19" ht="15" customHeight="1">
      <c r="B3" s="353" t="s">
        <v>174</v>
      </c>
      <c r="C3" s="353"/>
      <c r="D3" s="354" t="s">
        <v>220</v>
      </c>
      <c r="E3" s="354"/>
      <c r="F3" s="141"/>
      <c r="N3" s="355"/>
      <c r="O3" s="356"/>
      <c r="P3" s="142"/>
      <c r="Q3" s="142"/>
      <c r="R3" s="142"/>
    </row>
    <row r="4" spans="2:19" ht="15" customHeight="1">
      <c r="B4" s="338" t="s">
        <v>175</v>
      </c>
      <c r="C4" s="346"/>
      <c r="D4" s="347">
        <v>46021</v>
      </c>
      <c r="E4" s="346"/>
      <c r="F4" s="144"/>
      <c r="G4" s="145"/>
      <c r="N4" s="146"/>
      <c r="O4" s="147"/>
      <c r="P4" s="139"/>
      <c r="Q4" s="139"/>
    </row>
    <row r="5" spans="2:19" ht="15" customHeight="1">
      <c r="B5" s="338" t="s">
        <v>176</v>
      </c>
      <c r="C5" s="346"/>
      <c r="D5" s="347">
        <v>46021</v>
      </c>
      <c r="E5" s="346"/>
      <c r="F5" s="146"/>
      <c r="G5" s="145"/>
      <c r="N5" s="338"/>
      <c r="O5" s="345"/>
      <c r="P5" s="148"/>
      <c r="Q5" s="148"/>
      <c r="R5" s="148"/>
    </row>
    <row r="6" spans="2:19" ht="15" customHeight="1">
      <c r="B6" s="338" t="s">
        <v>177</v>
      </c>
      <c r="C6" s="338"/>
      <c r="D6" s="149" t="s">
        <v>178</v>
      </c>
      <c r="E6" s="149"/>
      <c r="F6" s="150" t="s">
        <v>179</v>
      </c>
      <c r="G6" s="343" t="s">
        <v>219</v>
      </c>
      <c r="H6" s="344"/>
      <c r="N6" s="348"/>
      <c r="O6" s="349"/>
      <c r="P6" s="151"/>
      <c r="Q6" s="151"/>
      <c r="R6" s="148"/>
    </row>
    <row r="7" spans="2:19" ht="15" customHeight="1">
      <c r="B7" s="338" t="s">
        <v>6</v>
      </c>
      <c r="C7" s="338"/>
      <c r="D7" s="339" t="s">
        <v>135</v>
      </c>
      <c r="E7" s="340"/>
      <c r="F7" s="150" t="s">
        <v>179</v>
      </c>
      <c r="G7" s="343" t="s">
        <v>46</v>
      </c>
      <c r="H7" s="344"/>
      <c r="N7" s="338"/>
      <c r="O7" s="345"/>
      <c r="P7" s="148"/>
      <c r="Q7" s="148"/>
      <c r="R7" s="148"/>
    </row>
    <row r="8" spans="2:19" ht="15" customHeight="1">
      <c r="B8" s="338" t="s">
        <v>180</v>
      </c>
      <c r="C8" s="338"/>
      <c r="D8" s="339" t="s">
        <v>136</v>
      </c>
      <c r="E8" s="340"/>
      <c r="F8" s="150" t="s">
        <v>179</v>
      </c>
      <c r="G8" s="152" t="s">
        <v>46</v>
      </c>
      <c r="H8" s="144"/>
      <c r="K8" s="153" t="s">
        <v>181</v>
      </c>
      <c r="L8" s="154">
        <f>SUM(L12-L21)</f>
        <v>3500000</v>
      </c>
      <c r="O8" s="139"/>
    </row>
    <row r="9" spans="2:19" ht="15" customHeight="1">
      <c r="B9" s="338" t="s">
        <v>182</v>
      </c>
      <c r="C9" s="338"/>
      <c r="D9" s="339" t="s">
        <v>221</v>
      </c>
      <c r="E9" s="340"/>
      <c r="F9" s="341"/>
      <c r="G9" s="139"/>
      <c r="H9" s="139"/>
      <c r="K9" s="153"/>
      <c r="L9" s="154"/>
      <c r="O9" s="139"/>
    </row>
    <row r="10" spans="2:19" ht="15" customHeight="1">
      <c r="B10" s="143"/>
      <c r="C10" s="143"/>
      <c r="D10" s="149"/>
      <c r="E10" s="149"/>
      <c r="F10" s="149"/>
      <c r="H10" s="342" t="s">
        <v>183</v>
      </c>
      <c r="I10" s="342"/>
      <c r="J10" s="155" t="str">
        <f>D8</f>
        <v>10MAR-35-18D-TRID</v>
      </c>
      <c r="K10" s="155" t="str">
        <f>D7</f>
        <v>ME822K</v>
      </c>
    </row>
    <row r="11" spans="2:19" s="138" customFormat="1" ht="32.1" customHeight="1">
      <c r="B11" s="156" t="s">
        <v>3</v>
      </c>
      <c r="C11" s="156" t="s">
        <v>184</v>
      </c>
      <c r="D11" s="156" t="s">
        <v>185</v>
      </c>
      <c r="E11" s="156" t="s">
        <v>186</v>
      </c>
      <c r="F11" s="156" t="s">
        <v>187</v>
      </c>
      <c r="G11" s="156" t="s">
        <v>188</v>
      </c>
      <c r="H11" s="156" t="s">
        <v>189</v>
      </c>
      <c r="I11" s="156" t="s">
        <v>190</v>
      </c>
      <c r="J11" s="156" t="s">
        <v>191</v>
      </c>
      <c r="K11" s="156" t="s">
        <v>192</v>
      </c>
      <c r="L11" s="157" t="s">
        <v>193</v>
      </c>
      <c r="N11" s="156" t="s">
        <v>194</v>
      </c>
      <c r="O11" s="156" t="s">
        <v>195</v>
      </c>
      <c r="P11" s="156" t="s">
        <v>196</v>
      </c>
      <c r="Q11" s="156" t="s">
        <v>195</v>
      </c>
    </row>
    <row r="12" spans="2:19" ht="15" customHeight="1">
      <c r="B12" s="158">
        <v>1</v>
      </c>
      <c r="C12" s="159">
        <v>46091</v>
      </c>
      <c r="D12" s="160" t="s">
        <v>113</v>
      </c>
      <c r="E12" s="160" t="s">
        <v>197</v>
      </c>
      <c r="F12" s="160" t="s">
        <v>198</v>
      </c>
      <c r="G12" s="159" t="s">
        <v>62</v>
      </c>
      <c r="H12" s="159">
        <v>46021</v>
      </c>
      <c r="I12" s="161">
        <v>35</v>
      </c>
      <c r="J12" s="162" t="s">
        <v>199</v>
      </c>
      <c r="K12" s="163">
        <v>10000000</v>
      </c>
      <c r="L12" s="164">
        <f>K12*I12</f>
        <v>350000000</v>
      </c>
    </row>
    <row r="13" spans="2:19" ht="15" customHeight="1">
      <c r="B13" s="165"/>
      <c r="C13" s="159">
        <v>46091</v>
      </c>
      <c r="D13" s="160" t="s">
        <v>200</v>
      </c>
      <c r="E13" s="160" t="s">
        <v>201</v>
      </c>
      <c r="F13" s="160" t="s">
        <v>202</v>
      </c>
      <c r="G13" s="161" t="s">
        <v>62</v>
      </c>
      <c r="H13" s="159">
        <v>46021</v>
      </c>
      <c r="I13" s="161">
        <v>35</v>
      </c>
      <c r="J13" s="162" t="s">
        <v>203</v>
      </c>
      <c r="K13" s="166">
        <f>-K12*20%</f>
        <v>-2000000</v>
      </c>
      <c r="L13" s="164">
        <f>K13*I13</f>
        <v>-70000000</v>
      </c>
      <c r="N13" s="161" t="s">
        <v>134</v>
      </c>
      <c r="O13" s="161" t="s">
        <v>204</v>
      </c>
      <c r="P13" s="161" t="s">
        <v>205</v>
      </c>
      <c r="Q13" s="161" t="s">
        <v>218</v>
      </c>
      <c r="S13" s="167"/>
    </row>
    <row r="14" spans="2:19" ht="15" customHeight="1">
      <c r="B14" s="165"/>
      <c r="C14" s="159">
        <v>46107</v>
      </c>
      <c r="D14" s="161" t="s">
        <v>206</v>
      </c>
      <c r="E14" s="161" t="s">
        <v>207</v>
      </c>
      <c r="F14" s="161" t="s">
        <v>208</v>
      </c>
      <c r="G14" s="168"/>
      <c r="H14" s="159" t="s">
        <v>46</v>
      </c>
      <c r="I14" s="161">
        <v>35</v>
      </c>
      <c r="J14" s="162" t="s">
        <v>209</v>
      </c>
      <c r="K14" s="166" t="s">
        <v>46</v>
      </c>
      <c r="L14" s="164" t="s">
        <v>46</v>
      </c>
      <c r="N14" s="161"/>
      <c r="O14" s="161"/>
      <c r="P14" s="161"/>
      <c r="Q14" s="161"/>
    </row>
    <row r="15" spans="2:19" ht="15" customHeight="1">
      <c r="B15" s="169"/>
      <c r="C15" s="159">
        <v>46108</v>
      </c>
      <c r="D15" s="161" t="s">
        <v>105</v>
      </c>
      <c r="E15" s="161" t="s">
        <v>210</v>
      </c>
      <c r="F15" s="161" t="s">
        <v>211</v>
      </c>
      <c r="G15" s="168"/>
      <c r="H15" s="159" t="s">
        <v>46</v>
      </c>
      <c r="I15" s="170" t="s">
        <v>46</v>
      </c>
      <c r="J15" s="162" t="s">
        <v>46</v>
      </c>
      <c r="K15" s="162"/>
      <c r="L15" s="164" t="s">
        <v>46</v>
      </c>
      <c r="N15" s="161"/>
      <c r="O15" s="161"/>
      <c r="P15" s="161"/>
      <c r="Q15" s="161"/>
    </row>
    <row r="16" spans="2:19" ht="15" customHeight="1">
      <c r="B16" s="171"/>
      <c r="C16" s="172"/>
      <c r="D16" s="138"/>
      <c r="E16" s="138"/>
      <c r="F16" s="138"/>
      <c r="G16" s="168"/>
      <c r="H16" s="159" t="s">
        <v>46</v>
      </c>
      <c r="I16" s="170" t="s">
        <v>46</v>
      </c>
      <c r="J16" s="162" t="s">
        <v>46</v>
      </c>
      <c r="K16" s="163" t="s">
        <v>46</v>
      </c>
      <c r="L16" s="164" t="s">
        <v>46</v>
      </c>
      <c r="N16" s="161"/>
      <c r="O16" s="161"/>
      <c r="P16" s="161"/>
      <c r="Q16" s="161"/>
    </row>
    <row r="17" spans="2:19" ht="15" customHeight="1">
      <c r="B17" s="171"/>
      <c r="C17" s="172"/>
      <c r="D17" s="138"/>
      <c r="E17" s="138"/>
      <c r="F17" s="138"/>
      <c r="G17" s="173"/>
      <c r="H17" s="159" t="s">
        <v>46</v>
      </c>
      <c r="I17" s="161">
        <v>35</v>
      </c>
      <c r="J17" s="162" t="s">
        <v>339</v>
      </c>
      <c r="K17" s="163">
        <v>-100000</v>
      </c>
      <c r="L17" s="164">
        <f>K17*I17</f>
        <v>-3500000</v>
      </c>
      <c r="N17" s="161"/>
      <c r="O17" s="161"/>
      <c r="P17" s="161"/>
      <c r="Q17" s="161"/>
    </row>
    <row r="18" spans="2:19" ht="18.600000000000001" customHeight="1" thickBot="1">
      <c r="G18" s="174"/>
      <c r="H18" s="172"/>
      <c r="I18" s="175"/>
      <c r="J18" s="176" t="s">
        <v>212</v>
      </c>
      <c r="K18" s="177"/>
      <c r="L18" s="178">
        <f>SUM(L12:L17)</f>
        <v>276500000</v>
      </c>
      <c r="N18" s="161"/>
      <c r="O18" s="161"/>
      <c r="P18" s="161"/>
      <c r="Q18" s="161"/>
    </row>
    <row r="19" spans="2:19" ht="15" customHeight="1">
      <c r="G19" s="174"/>
      <c r="H19" s="172"/>
      <c r="J19" s="142"/>
      <c r="L19" s="179"/>
    </row>
    <row r="20" spans="2:19" ht="15" customHeight="1">
      <c r="G20" s="174"/>
      <c r="H20" s="172"/>
      <c r="L20" s="179"/>
    </row>
    <row r="21" spans="2:19" ht="15" customHeight="1">
      <c r="G21" s="180" t="s">
        <v>62</v>
      </c>
      <c r="H21" s="180">
        <v>46021</v>
      </c>
      <c r="I21" s="181">
        <v>35</v>
      </c>
      <c r="J21" s="182" t="s">
        <v>213</v>
      </c>
      <c r="K21" s="183">
        <v>9900000</v>
      </c>
      <c r="L21" s="184">
        <f>K21*I21</f>
        <v>346500000</v>
      </c>
      <c r="N21" s="181"/>
      <c r="O21" s="181"/>
      <c r="P21" s="181"/>
      <c r="Q21" s="181"/>
    </row>
    <row r="22" spans="2:19" ht="15" customHeight="1">
      <c r="G22" s="185" t="str">
        <f>G6</f>
        <v>A123345</v>
      </c>
      <c r="H22" s="180">
        <v>46021</v>
      </c>
      <c r="I22" s="181">
        <v>35</v>
      </c>
      <c r="J22" s="186" t="s">
        <v>214</v>
      </c>
      <c r="K22" s="166">
        <f>K21*20%</f>
        <v>1980000</v>
      </c>
      <c r="L22" s="164">
        <f>K22*I22</f>
        <v>69300000</v>
      </c>
      <c r="N22" s="161" t="s">
        <v>134</v>
      </c>
      <c r="O22" s="161" t="s">
        <v>204</v>
      </c>
      <c r="P22" s="161" t="s">
        <v>205</v>
      </c>
      <c r="Q22" s="161" t="s">
        <v>218</v>
      </c>
      <c r="S22" s="167"/>
    </row>
    <row r="23" spans="2:19" ht="15" customHeight="1">
      <c r="G23" s="187" t="str">
        <f>G7</f>
        <v>-</v>
      </c>
      <c r="H23" s="180" t="s">
        <v>46</v>
      </c>
      <c r="I23" s="181">
        <v>35</v>
      </c>
      <c r="J23" s="186" t="s">
        <v>215</v>
      </c>
      <c r="K23" s="166">
        <f>-K21*10%</f>
        <v>-990000</v>
      </c>
      <c r="L23" s="164">
        <f>K23*I23</f>
        <v>-34650000</v>
      </c>
      <c r="N23" s="161" t="s">
        <v>134</v>
      </c>
      <c r="O23" s="161" t="s">
        <v>204</v>
      </c>
      <c r="P23" s="161" t="s">
        <v>205</v>
      </c>
      <c r="Q23" s="161" t="s">
        <v>218</v>
      </c>
    </row>
    <row r="24" spans="2:19" ht="15" customHeight="1">
      <c r="G24" s="187"/>
      <c r="H24" s="188"/>
      <c r="I24" s="189"/>
      <c r="J24" s="190" t="s">
        <v>46</v>
      </c>
      <c r="K24" s="190"/>
      <c r="L24" s="191"/>
      <c r="N24" s="181"/>
      <c r="O24" s="181"/>
      <c r="P24" s="181"/>
      <c r="Q24" s="181"/>
    </row>
    <row r="25" spans="2:19" ht="15" customHeight="1" thickBot="1">
      <c r="G25" s="192"/>
      <c r="H25" s="172"/>
      <c r="I25" s="175"/>
      <c r="J25" s="193" t="s">
        <v>212</v>
      </c>
      <c r="K25" s="194"/>
      <c r="L25" s="195">
        <f>SUM(L21:L24)</f>
        <v>381150000</v>
      </c>
      <c r="N25" s="181"/>
      <c r="O25" s="181"/>
      <c r="P25" s="181"/>
      <c r="Q25" s="181"/>
    </row>
    <row r="26" spans="2:19" ht="15" customHeight="1">
      <c r="J26" s="142"/>
      <c r="K26" s="142"/>
      <c r="L26" s="196"/>
    </row>
    <row r="27" spans="2:19" ht="15" customHeight="1">
      <c r="H27" s="159"/>
      <c r="I27" s="161">
        <v>35</v>
      </c>
      <c r="J27" s="197" t="s">
        <v>216</v>
      </c>
      <c r="K27" s="198">
        <f>K12-K21</f>
        <v>100000</v>
      </c>
      <c r="L27" s="198">
        <f>I27*K27</f>
        <v>3500000</v>
      </c>
    </row>
    <row r="28" spans="2:19" ht="15" customHeight="1">
      <c r="H28" s="159" t="s">
        <v>46</v>
      </c>
      <c r="I28" s="199">
        <v>35</v>
      </c>
      <c r="J28" s="197" t="s">
        <v>217</v>
      </c>
      <c r="K28" s="198">
        <v>0</v>
      </c>
      <c r="L28" s="198">
        <f>K28*I28</f>
        <v>0</v>
      </c>
      <c r="N28" s="200" t="s">
        <v>46</v>
      </c>
      <c r="O28" s="200" t="s">
        <v>46</v>
      </c>
      <c r="P28" s="200" t="s">
        <v>46</v>
      </c>
      <c r="Q28" s="200" t="s">
        <v>62</v>
      </c>
    </row>
    <row r="29" spans="2:19" ht="15" customHeight="1">
      <c r="H29" s="159"/>
      <c r="I29" s="161">
        <v>35</v>
      </c>
      <c r="J29" s="197" t="s">
        <v>212</v>
      </c>
      <c r="K29" s="198">
        <f>SUM(K27:K28)</f>
        <v>100000</v>
      </c>
      <c r="L29" s="198">
        <f>SUM(L27:L28)</f>
        <v>3500000</v>
      </c>
    </row>
  </sheetData>
  <mergeCells count="22">
    <mergeCell ref="B4:C4"/>
    <mergeCell ref="D4:E4"/>
    <mergeCell ref="B2:C2"/>
    <mergeCell ref="D2:E2"/>
    <mergeCell ref="B3:C3"/>
    <mergeCell ref="D3:E3"/>
    <mergeCell ref="N3:O3"/>
    <mergeCell ref="N7:O7"/>
    <mergeCell ref="B8:C8"/>
    <mergeCell ref="D8:E8"/>
    <mergeCell ref="B5:C5"/>
    <mergeCell ref="D5:E5"/>
    <mergeCell ref="N5:O5"/>
    <mergeCell ref="B6:C6"/>
    <mergeCell ref="G6:H6"/>
    <mergeCell ref="N6:O6"/>
    <mergeCell ref="B9:C9"/>
    <mergeCell ref="D9:F9"/>
    <mergeCell ref="H10:I10"/>
    <mergeCell ref="B7:C7"/>
    <mergeCell ref="D7:E7"/>
    <mergeCell ref="G7:H7"/>
  </mergeCells>
  <pageMargins left="0.25" right="0.25" top="0.25" bottom="0.25" header="0.3" footer="0.3"/>
  <pageSetup paperSize="9" scale="7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6F7A8-625A-4BA6-8F9B-BAD82D8B4D67}">
  <dimension ref="C3:M54"/>
  <sheetViews>
    <sheetView topLeftCell="A118" workbookViewId="0">
      <selection activeCell="H46" sqref="H46:I48"/>
    </sheetView>
  </sheetViews>
  <sheetFormatPr defaultColWidth="9.109375" defaultRowHeight="13.8"/>
  <cols>
    <col min="1" max="1" width="5.6640625" style="201" customWidth="1"/>
    <col min="2" max="2" width="4.5546875" style="201" customWidth="1"/>
    <col min="3" max="3" width="12.6640625" style="201" customWidth="1"/>
    <col min="4" max="5" width="9.6640625" style="201" customWidth="1"/>
    <col min="6" max="6" width="8.33203125" style="201" customWidth="1"/>
    <col min="7" max="7" width="15.6640625" style="201" customWidth="1"/>
    <col min="8" max="8" width="8.6640625" style="201" customWidth="1"/>
    <col min="9" max="9" width="14.6640625" style="201" customWidth="1"/>
    <col min="10" max="10" width="16.6640625" style="201" customWidth="1"/>
    <col min="11" max="11" width="4.6640625" style="201" customWidth="1"/>
    <col min="12" max="12" width="5.6640625" style="201" customWidth="1"/>
    <col min="13" max="13" width="21.88671875" style="201" customWidth="1"/>
    <col min="14" max="16384" width="9.109375" style="201"/>
  </cols>
  <sheetData>
    <row r="3" spans="3:10">
      <c r="J3" s="202"/>
    </row>
    <row r="4" spans="3:10">
      <c r="J4" s="202">
        <v>46022</v>
      </c>
    </row>
    <row r="5" spans="3:10">
      <c r="J5" s="202"/>
    </row>
    <row r="6" spans="3:10">
      <c r="J6" s="203" t="s">
        <v>225</v>
      </c>
    </row>
    <row r="7" spans="3:10">
      <c r="H7" s="204"/>
      <c r="I7" s="205"/>
      <c r="J7" s="206" t="s">
        <v>266</v>
      </c>
    </row>
    <row r="8" spans="3:10">
      <c r="H8" s="207"/>
      <c r="I8" s="207"/>
      <c r="J8" s="206" t="s">
        <v>267</v>
      </c>
    </row>
    <row r="9" spans="3:10">
      <c r="H9" s="207"/>
      <c r="I9" s="207"/>
      <c r="J9" s="206" t="s">
        <v>226</v>
      </c>
    </row>
    <row r="10" spans="3:10">
      <c r="H10" s="207"/>
      <c r="I10" s="207"/>
      <c r="J10" s="206" t="s">
        <v>227</v>
      </c>
    </row>
    <row r="11" spans="3:10">
      <c r="J11" s="208"/>
    </row>
    <row r="13" spans="3:10">
      <c r="C13" s="371" t="s">
        <v>228</v>
      </c>
      <c r="D13" s="372"/>
      <c r="E13" s="372"/>
      <c r="F13" s="372"/>
      <c r="G13" s="372"/>
      <c r="H13" s="372"/>
      <c r="I13" s="372"/>
      <c r="J13" s="372"/>
    </row>
    <row r="14" spans="3:10">
      <c r="C14" s="373" t="s">
        <v>229</v>
      </c>
      <c r="D14" s="374"/>
      <c r="E14" s="374"/>
      <c r="F14" s="374"/>
      <c r="G14" s="374"/>
      <c r="H14" s="374"/>
      <c r="I14" s="374"/>
      <c r="J14" s="374"/>
    </row>
    <row r="15" spans="3:10">
      <c r="C15" s="375" t="s">
        <v>230</v>
      </c>
      <c r="D15" s="377" t="s">
        <v>231</v>
      </c>
      <c r="E15" s="378"/>
      <c r="F15" s="378"/>
      <c r="G15" s="378"/>
      <c r="H15" s="381" t="s">
        <v>232</v>
      </c>
      <c r="I15" s="375" t="s">
        <v>233</v>
      </c>
      <c r="J15" s="375" t="s">
        <v>234</v>
      </c>
    </row>
    <row r="16" spans="3:10" ht="14.4" thickBot="1">
      <c r="C16" s="376"/>
      <c r="D16" s="379"/>
      <c r="E16" s="380"/>
      <c r="F16" s="380"/>
      <c r="G16" s="380"/>
      <c r="H16" s="376"/>
      <c r="I16" s="376"/>
      <c r="J16" s="376"/>
    </row>
    <row r="17" spans="3:13">
      <c r="C17" s="209"/>
      <c r="D17" s="210"/>
      <c r="E17" s="211"/>
      <c r="F17" s="211"/>
      <c r="G17" s="211"/>
      <c r="H17" s="209"/>
      <c r="I17" s="212"/>
      <c r="J17" s="213"/>
    </row>
    <row r="18" spans="3:13">
      <c r="C18" s="214">
        <v>46153</v>
      </c>
      <c r="D18" s="215" t="s">
        <v>235</v>
      </c>
      <c r="E18" s="216"/>
      <c r="F18" s="205"/>
      <c r="G18" s="205"/>
      <c r="H18" s="217">
        <v>45</v>
      </c>
      <c r="I18" s="218"/>
      <c r="J18" s="218"/>
    </row>
    <row r="19" spans="3:13">
      <c r="C19" s="214"/>
      <c r="D19" s="219" t="s">
        <v>236</v>
      </c>
      <c r="E19" s="220"/>
      <c r="F19" s="221"/>
      <c r="G19" s="221"/>
      <c r="H19" s="217"/>
      <c r="I19" s="222"/>
      <c r="J19" s="222"/>
    </row>
    <row r="20" spans="3:13">
      <c r="C20" s="214"/>
      <c r="D20" s="223">
        <v>46153</v>
      </c>
      <c r="E20" s="224" t="s">
        <v>41</v>
      </c>
      <c r="F20" s="224" t="s">
        <v>137</v>
      </c>
      <c r="G20" s="225" t="s">
        <v>237</v>
      </c>
      <c r="H20" s="217"/>
      <c r="I20" s="218"/>
      <c r="J20" s="218"/>
      <c r="M20" s="226"/>
    </row>
    <row r="21" spans="3:13">
      <c r="C21" s="214"/>
      <c r="D21" s="223">
        <v>46153</v>
      </c>
      <c r="E21" s="224" t="s">
        <v>200</v>
      </c>
      <c r="F21" s="224" t="s">
        <v>238</v>
      </c>
      <c r="G21" s="225" t="s">
        <v>239</v>
      </c>
      <c r="H21" s="217"/>
      <c r="I21" s="218"/>
      <c r="J21" s="218"/>
      <c r="M21" s="226"/>
    </row>
    <row r="22" spans="3:13">
      <c r="C22" s="214"/>
      <c r="D22" s="223">
        <v>46177</v>
      </c>
      <c r="E22" s="224" t="s">
        <v>206</v>
      </c>
      <c r="F22" s="224" t="s">
        <v>240</v>
      </c>
      <c r="G22" s="225" t="s">
        <v>241</v>
      </c>
      <c r="H22" s="217"/>
      <c r="I22" s="218"/>
      <c r="J22" s="218"/>
      <c r="M22" s="226"/>
    </row>
    <row r="23" spans="3:13">
      <c r="C23" s="214"/>
      <c r="D23" s="223">
        <v>46178</v>
      </c>
      <c r="E23" s="224" t="s">
        <v>44</v>
      </c>
      <c r="F23" s="224" t="s">
        <v>138</v>
      </c>
      <c r="G23" s="225" t="s">
        <v>242</v>
      </c>
      <c r="H23" s="217"/>
      <c r="I23" s="227"/>
      <c r="J23" s="218"/>
      <c r="M23" s="228"/>
    </row>
    <row r="24" spans="3:13">
      <c r="C24" s="214"/>
      <c r="D24" s="229"/>
      <c r="E24" s="205"/>
      <c r="F24" s="205"/>
      <c r="G24" s="205"/>
      <c r="H24" s="217"/>
      <c r="I24" s="222"/>
      <c r="J24" s="222"/>
    </row>
    <row r="25" spans="3:13" ht="14.4">
      <c r="C25" s="214"/>
      <c r="D25" s="363" t="s">
        <v>243</v>
      </c>
      <c r="E25" s="364"/>
      <c r="F25" s="230"/>
      <c r="G25" s="230"/>
      <c r="H25" s="231">
        <v>45</v>
      </c>
      <c r="I25" s="232">
        <v>15000000</v>
      </c>
      <c r="J25" s="232">
        <f>SUM(H25*I25)</f>
        <v>675000000</v>
      </c>
      <c r="L25" s="226"/>
      <c r="M25" s="226"/>
    </row>
    <row r="26" spans="3:13" ht="14.4">
      <c r="C26" s="214"/>
      <c r="D26" s="365" t="s">
        <v>244</v>
      </c>
      <c r="E26" s="366"/>
      <c r="F26" s="366"/>
      <c r="G26" s="233">
        <v>0.2</v>
      </c>
      <c r="H26" s="217">
        <v>45</v>
      </c>
      <c r="I26" s="222">
        <f>-I25*20%</f>
        <v>-3000000</v>
      </c>
      <c r="J26" s="222">
        <f>SUM(H26*I26)</f>
        <v>-135000000</v>
      </c>
    </row>
    <row r="27" spans="3:13" ht="14.4" customHeight="1">
      <c r="C27" s="214"/>
      <c r="D27" s="365" t="s">
        <v>245</v>
      </c>
      <c r="E27" s="366"/>
      <c r="F27" s="366"/>
      <c r="G27" s="233">
        <v>0.3</v>
      </c>
      <c r="H27" s="217">
        <v>45</v>
      </c>
      <c r="I27" s="222">
        <f>-I25*30%</f>
        <v>-4500000</v>
      </c>
      <c r="J27" s="222">
        <f>SUM(H27*I27)</f>
        <v>-202500000</v>
      </c>
    </row>
    <row r="28" spans="3:13" ht="14.4" customHeight="1">
      <c r="C28" s="214"/>
      <c r="D28" s="365" t="s">
        <v>246</v>
      </c>
      <c r="E28" s="366"/>
      <c r="F28" s="366"/>
      <c r="G28" s="233">
        <v>0.5</v>
      </c>
      <c r="H28" s="217">
        <v>45</v>
      </c>
      <c r="I28" s="222">
        <f>-I25*50%</f>
        <v>-7500000</v>
      </c>
      <c r="J28" s="222">
        <f>SUM(H28*I28)</f>
        <v>-337500000</v>
      </c>
    </row>
    <row r="29" spans="3:13" ht="14.4" thickBot="1">
      <c r="C29" s="234"/>
      <c r="D29" s="235"/>
      <c r="E29" s="236"/>
      <c r="F29" s="236"/>
      <c r="G29" s="236"/>
      <c r="H29" s="234"/>
      <c r="I29" s="237"/>
      <c r="J29" s="237"/>
    </row>
    <row r="30" spans="3:13">
      <c r="C30" s="238"/>
      <c r="D30" s="239"/>
      <c r="E30" s="239"/>
      <c r="F30" s="239"/>
      <c r="G30" s="239"/>
      <c r="H30" s="240"/>
      <c r="I30" s="241" t="s">
        <v>247</v>
      </c>
      <c r="J30" s="242">
        <f>SUM(J25)</f>
        <v>675000000</v>
      </c>
    </row>
    <row r="31" spans="3:13">
      <c r="G31" s="205"/>
      <c r="H31" s="224"/>
      <c r="I31" s="243" t="s">
        <v>248</v>
      </c>
      <c r="J31" s="244">
        <f>SUM(J25:J29)</f>
        <v>0</v>
      </c>
      <c r="L31" s="245"/>
    </row>
    <row r="32" spans="3:13">
      <c r="C32" s="246" t="s">
        <v>191</v>
      </c>
      <c r="H32" s="224"/>
      <c r="I32" s="243"/>
      <c r="J32" s="226"/>
      <c r="L32" s="245"/>
    </row>
    <row r="33" spans="3:12" ht="14.4">
      <c r="C33" s="247" t="s">
        <v>249</v>
      </c>
      <c r="H33" s="224"/>
      <c r="I33" s="243"/>
      <c r="J33" s="226"/>
      <c r="L33" s="245"/>
    </row>
    <row r="34" spans="3:12" ht="14.4">
      <c r="C34" s="247" t="s">
        <v>250</v>
      </c>
      <c r="H34" s="224"/>
      <c r="I34" s="243"/>
      <c r="J34" s="226"/>
      <c r="L34" s="245"/>
    </row>
    <row r="35" spans="3:12" ht="14.4">
      <c r="C35" s="247" t="s">
        <v>251</v>
      </c>
      <c r="H35" s="224"/>
      <c r="I35" s="243"/>
      <c r="J35" s="226"/>
      <c r="L35" s="245"/>
    </row>
    <row r="36" spans="3:12" ht="14.4">
      <c r="C36" s="247" t="s">
        <v>252</v>
      </c>
      <c r="H36" s="224"/>
      <c r="I36" s="243"/>
      <c r="J36" s="226"/>
      <c r="L36" s="245"/>
    </row>
    <row r="37" spans="3:12" ht="14.4">
      <c r="C37" s="247" t="s">
        <v>253</v>
      </c>
      <c r="H37" s="224"/>
      <c r="I37" s="205"/>
      <c r="J37" s="248"/>
    </row>
    <row r="38" spans="3:12" ht="14.4">
      <c r="C38" s="126" t="s">
        <v>254</v>
      </c>
      <c r="D38" s="126"/>
      <c r="E38" s="126"/>
      <c r="F38" s="126"/>
      <c r="G38" s="126"/>
      <c r="H38" s="224"/>
      <c r="I38" s="205"/>
      <c r="J38" s="248"/>
    </row>
    <row r="39" spans="3:12">
      <c r="C39" s="367" t="s">
        <v>255</v>
      </c>
      <c r="D39" s="368"/>
      <c r="E39" s="369">
        <v>46025</v>
      </c>
      <c r="F39" s="369"/>
      <c r="G39" s="370"/>
      <c r="H39" s="224"/>
      <c r="I39" s="205"/>
      <c r="J39" s="248"/>
    </row>
    <row r="40" spans="3:12" ht="14.4" thickBot="1">
      <c r="C40" s="357" t="s">
        <v>256</v>
      </c>
      <c r="D40" s="357"/>
      <c r="E40" s="358">
        <v>46045</v>
      </c>
      <c r="F40" s="358"/>
      <c r="G40" s="358"/>
      <c r="H40" s="224"/>
      <c r="I40" s="205"/>
      <c r="J40" s="248"/>
    </row>
    <row r="41" spans="3:12" ht="14.4" thickBot="1">
      <c r="C41" s="359" t="s">
        <v>257</v>
      </c>
      <c r="D41" s="360"/>
      <c r="E41" s="361">
        <v>46115</v>
      </c>
      <c r="F41" s="361"/>
      <c r="G41" s="362"/>
      <c r="H41" s="224"/>
      <c r="I41" s="205"/>
      <c r="J41" s="248"/>
    </row>
    <row r="42" spans="3:12">
      <c r="C42" s="357" t="s">
        <v>258</v>
      </c>
      <c r="D42" s="357"/>
      <c r="E42" s="358">
        <v>46136</v>
      </c>
      <c r="F42" s="358"/>
      <c r="G42" s="358"/>
      <c r="H42" s="224"/>
      <c r="I42" s="205"/>
      <c r="J42" s="248"/>
    </row>
    <row r="43" spans="3:12">
      <c r="C43" s="249"/>
      <c r="D43" s="205"/>
      <c r="E43" s="250"/>
      <c r="F43" s="205"/>
      <c r="G43" s="205"/>
    </row>
    <row r="44" spans="3:12">
      <c r="C44" s="251" t="s">
        <v>259</v>
      </c>
      <c r="D44" s="205"/>
      <c r="E44" s="205"/>
      <c r="F44" s="205"/>
      <c r="H44" s="205"/>
    </row>
    <row r="45" spans="3:12">
      <c r="C45" s="251"/>
      <c r="D45" s="205"/>
      <c r="E45" s="205"/>
      <c r="F45" s="205"/>
      <c r="H45" s="205"/>
    </row>
    <row r="46" spans="3:12">
      <c r="C46" s="251" t="s">
        <v>260</v>
      </c>
      <c r="D46" s="205"/>
      <c r="E46" s="205"/>
      <c r="F46" s="205"/>
      <c r="H46" s="251"/>
    </row>
    <row r="47" spans="3:12">
      <c r="C47" s="207" t="s">
        <v>261</v>
      </c>
      <c r="D47" s="205"/>
      <c r="E47" s="205"/>
      <c r="F47" s="205"/>
      <c r="H47" s="207"/>
    </row>
    <row r="48" spans="3:12">
      <c r="C48" s="207" t="s">
        <v>263</v>
      </c>
      <c r="D48" s="205"/>
      <c r="E48" s="205"/>
      <c r="F48" s="205"/>
      <c r="H48" s="207"/>
    </row>
    <row r="52" spans="3:3">
      <c r="C52" s="201" t="s">
        <v>264</v>
      </c>
    </row>
    <row r="53" spans="3:3">
      <c r="C53" s="201" t="s">
        <v>262</v>
      </c>
    </row>
    <row r="54" spans="3:3">
      <c r="C54" s="201" t="s">
        <v>265</v>
      </c>
    </row>
  </sheetData>
  <mergeCells count="19">
    <mergeCell ref="C13:J13"/>
    <mergeCell ref="C14:J14"/>
    <mergeCell ref="C15:C16"/>
    <mergeCell ref="D15:G16"/>
    <mergeCell ref="H15:H16"/>
    <mergeCell ref="I15:I16"/>
    <mergeCell ref="J15:J16"/>
    <mergeCell ref="D25:E25"/>
    <mergeCell ref="D26:F26"/>
    <mergeCell ref="D27:F27"/>
    <mergeCell ref="D28:F28"/>
    <mergeCell ref="C39:D39"/>
    <mergeCell ref="E39:G39"/>
    <mergeCell ref="C40:D40"/>
    <mergeCell ref="E40:G40"/>
    <mergeCell ref="C41:D41"/>
    <mergeCell ref="E41:G41"/>
    <mergeCell ref="C42:D42"/>
    <mergeCell ref="E42:G42"/>
  </mergeCells>
  <pageMargins left="0.5" right="0.25" top="0.25" bottom="0.25" header="0.3" footer="0.3"/>
  <pageSetup paperSize="9" scale="95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D15E3-BBA4-4A5F-A375-E64D41619F1B}">
  <dimension ref="B2:K23"/>
  <sheetViews>
    <sheetView workbookViewId="0">
      <selection activeCell="B8" sqref="B8:C8"/>
    </sheetView>
  </sheetViews>
  <sheetFormatPr defaultRowHeight="18" customHeight="1"/>
  <cols>
    <col min="1" max="1" width="6.44140625" style="255" customWidth="1"/>
    <col min="2" max="2" width="6.77734375" style="255" customWidth="1"/>
    <col min="3" max="3" width="35.6640625" style="255" customWidth="1"/>
    <col min="4" max="4" width="17.77734375" style="255" customWidth="1"/>
    <col min="5" max="5" width="8.88671875" style="255"/>
    <col min="6" max="8" width="7.77734375" style="255" customWidth="1"/>
    <col min="9" max="9" width="18.21875" style="255" customWidth="1"/>
    <col min="10" max="10" width="14.109375" style="255" customWidth="1"/>
    <col min="11" max="11" width="25.77734375" style="255" customWidth="1"/>
    <col min="12" max="16384" width="8.88671875" style="255"/>
  </cols>
  <sheetData>
    <row r="2" spans="2:11" ht="18" customHeight="1" thickBot="1">
      <c r="B2" s="252">
        <v>1</v>
      </c>
      <c r="C2" s="253"/>
      <c r="D2" s="253"/>
      <c r="E2" s="253"/>
      <c r="F2" s="254"/>
      <c r="G2" s="254"/>
      <c r="H2" s="254"/>
      <c r="I2" s="253"/>
      <c r="J2" s="253"/>
      <c r="K2" s="253"/>
    </row>
    <row r="3" spans="2:11" ht="18" customHeight="1" thickTop="1">
      <c r="B3" s="395" t="s">
        <v>270</v>
      </c>
      <c r="C3" s="396"/>
      <c r="D3" s="256" t="s">
        <v>302</v>
      </c>
      <c r="E3" s="257"/>
      <c r="F3" s="258"/>
      <c r="G3" s="254"/>
      <c r="H3" s="254"/>
      <c r="I3" s="254"/>
      <c r="J3" s="254"/>
      <c r="K3" s="254"/>
    </row>
    <row r="4" spans="2:11" ht="18" customHeight="1">
      <c r="B4" s="395" t="s">
        <v>180</v>
      </c>
      <c r="C4" s="396"/>
      <c r="D4" s="256" t="s">
        <v>129</v>
      </c>
      <c r="E4" s="257"/>
      <c r="F4" s="258"/>
      <c r="G4" s="254"/>
      <c r="H4" s="254"/>
      <c r="I4" s="397" t="s">
        <v>271</v>
      </c>
      <c r="J4" s="398"/>
      <c r="K4" s="259">
        <v>46021</v>
      </c>
    </row>
    <row r="5" spans="2:11" ht="18" customHeight="1" thickBot="1">
      <c r="B5" s="386" t="s">
        <v>272</v>
      </c>
      <c r="C5" s="387"/>
      <c r="D5" s="388">
        <v>46021</v>
      </c>
      <c r="E5" s="389"/>
      <c r="F5" s="254"/>
      <c r="G5" s="254"/>
      <c r="H5" s="254"/>
      <c r="I5" s="262" t="s">
        <v>273</v>
      </c>
      <c r="J5" s="263"/>
      <c r="K5" s="264">
        <f>K4</f>
        <v>46021</v>
      </c>
    </row>
    <row r="6" spans="2:11" ht="18" customHeight="1" thickTop="1">
      <c r="B6" s="260"/>
      <c r="C6" s="261"/>
      <c r="D6" s="265"/>
      <c r="E6" s="254"/>
      <c r="F6" s="254"/>
      <c r="G6" s="254"/>
      <c r="H6" s="254"/>
      <c r="I6" s="390" t="s">
        <v>304</v>
      </c>
      <c r="J6" s="391"/>
      <c r="K6" s="391"/>
    </row>
    <row r="7" spans="2:11" ht="18" customHeight="1">
      <c r="B7" s="393" t="s">
        <v>274</v>
      </c>
      <c r="C7" s="394"/>
      <c r="D7" s="388">
        <v>46021</v>
      </c>
      <c r="E7" s="389"/>
      <c r="F7" s="254"/>
      <c r="G7" s="254"/>
      <c r="H7" s="254"/>
      <c r="I7" s="392"/>
      <c r="J7" s="392"/>
      <c r="K7" s="392"/>
    </row>
    <row r="8" spans="2:11" ht="18" customHeight="1">
      <c r="B8" s="393" t="s">
        <v>275</v>
      </c>
      <c r="C8" s="394"/>
      <c r="D8" s="388" t="s">
        <v>46</v>
      </c>
      <c r="E8" s="389"/>
      <c r="F8" s="254"/>
      <c r="G8" s="254"/>
      <c r="H8" s="254"/>
      <c r="I8" s="392"/>
      <c r="J8" s="392"/>
      <c r="K8" s="392"/>
    </row>
    <row r="9" spans="2:11" ht="18" customHeight="1" thickBot="1">
      <c r="B9" s="382"/>
      <c r="C9" s="382"/>
      <c r="D9" s="382"/>
      <c r="E9" s="341"/>
      <c r="F9" s="266"/>
      <c r="G9" s="254"/>
      <c r="H9" s="254"/>
      <c r="I9" s="383" t="s">
        <v>276</v>
      </c>
      <c r="J9" s="384"/>
      <c r="K9" s="259" t="s">
        <v>46</v>
      </c>
    </row>
    <row r="10" spans="2:11" ht="18" customHeight="1" thickTop="1">
      <c r="B10" s="382" t="s">
        <v>277</v>
      </c>
      <c r="C10" s="382"/>
      <c r="D10" s="382"/>
      <c r="E10" s="341"/>
      <c r="F10" s="344"/>
      <c r="G10" s="254"/>
      <c r="H10" s="254"/>
      <c r="I10" s="267" t="s">
        <v>278</v>
      </c>
      <c r="J10" s="268"/>
      <c r="K10" s="269" t="str">
        <f>K9</f>
        <v>-</v>
      </c>
    </row>
    <row r="11" spans="2:11" ht="18" customHeight="1">
      <c r="B11" s="270">
        <v>1</v>
      </c>
      <c r="C11" s="271" t="s">
        <v>6</v>
      </c>
      <c r="D11" s="298" t="s">
        <v>303</v>
      </c>
      <c r="E11" s="272"/>
      <c r="F11" s="266"/>
      <c r="G11" s="254"/>
      <c r="H11" s="254"/>
      <c r="I11" s="273" t="str">
        <f>D21</f>
        <v>A125018</v>
      </c>
      <c r="J11" s="274" t="s">
        <v>305</v>
      </c>
      <c r="K11" s="275"/>
    </row>
    <row r="12" spans="2:11" ht="18" customHeight="1">
      <c r="B12" s="276">
        <v>2</v>
      </c>
      <c r="C12" s="277" t="s">
        <v>279</v>
      </c>
      <c r="D12" s="278">
        <v>46057</v>
      </c>
      <c r="E12" s="279"/>
      <c r="F12" s="266"/>
      <c r="G12" s="254"/>
      <c r="H12" s="254"/>
      <c r="I12" s="280"/>
      <c r="J12" s="281"/>
      <c r="K12" s="282"/>
    </row>
    <row r="13" spans="2:11" ht="18" customHeight="1">
      <c r="B13" s="276">
        <v>3</v>
      </c>
      <c r="C13" s="277" t="s">
        <v>280</v>
      </c>
      <c r="D13" s="283">
        <v>35</v>
      </c>
      <c r="E13" s="279"/>
      <c r="F13" s="266"/>
      <c r="G13" s="254"/>
      <c r="H13" s="254"/>
      <c r="I13" s="280" t="s">
        <v>281</v>
      </c>
      <c r="J13" s="284" t="s">
        <v>282</v>
      </c>
      <c r="K13" s="254"/>
    </row>
    <row r="14" spans="2:11" ht="18" customHeight="1">
      <c r="B14" s="276"/>
      <c r="C14" s="277" t="s">
        <v>301</v>
      </c>
      <c r="D14" s="283">
        <v>32</v>
      </c>
      <c r="E14" s="279"/>
      <c r="F14" s="266"/>
      <c r="G14" s="254"/>
      <c r="H14" s="254"/>
      <c r="I14" s="280" t="s">
        <v>284</v>
      </c>
      <c r="J14" s="281" t="s">
        <v>285</v>
      </c>
      <c r="K14" s="254"/>
    </row>
    <row r="15" spans="2:11" ht="18" customHeight="1">
      <c r="B15" s="276">
        <v>4</v>
      </c>
      <c r="C15" s="277" t="s">
        <v>283</v>
      </c>
      <c r="D15" s="285">
        <v>10000000</v>
      </c>
      <c r="E15" s="279"/>
      <c r="F15" s="266"/>
      <c r="G15" s="254"/>
      <c r="H15" s="254"/>
      <c r="I15" s="280" t="s">
        <v>287</v>
      </c>
      <c r="J15" s="286" t="s">
        <v>288</v>
      </c>
      <c r="K15" s="282"/>
    </row>
    <row r="16" spans="2:11" ht="18" customHeight="1">
      <c r="B16" s="276">
        <v>5</v>
      </c>
      <c r="C16" s="277" t="s">
        <v>286</v>
      </c>
      <c r="D16" s="285">
        <f>D14*D15</f>
        <v>320000000</v>
      </c>
      <c r="E16" s="279"/>
      <c r="F16" s="266"/>
      <c r="G16" s="254"/>
      <c r="H16" s="254"/>
      <c r="I16" s="280" t="s">
        <v>290</v>
      </c>
      <c r="J16" s="286" t="s">
        <v>291</v>
      </c>
      <c r="K16" s="254"/>
    </row>
    <row r="17" spans="2:11" ht="18" customHeight="1">
      <c r="B17" s="276">
        <v>6</v>
      </c>
      <c r="C17" s="277" t="s">
        <v>289</v>
      </c>
      <c r="D17" s="285">
        <v>-102800000</v>
      </c>
      <c r="E17" s="279"/>
      <c r="F17" s="266"/>
      <c r="G17" s="254"/>
      <c r="H17" s="254"/>
      <c r="K17" s="254"/>
    </row>
    <row r="18" spans="2:11" ht="18" customHeight="1">
      <c r="B18" s="276">
        <v>7</v>
      </c>
      <c r="C18" s="277" t="s">
        <v>292</v>
      </c>
      <c r="D18" s="285">
        <f>-SUM(D16:D17)</f>
        <v>-217200000</v>
      </c>
      <c r="E18" s="287"/>
      <c r="F18" s="266"/>
      <c r="G18" s="254"/>
      <c r="H18" s="254"/>
      <c r="I18" s="290" t="s">
        <v>294</v>
      </c>
      <c r="J18" s="254" t="s">
        <v>262</v>
      </c>
      <c r="K18" s="288"/>
    </row>
    <row r="19" spans="2:11" ht="18" customHeight="1">
      <c r="B19" s="276">
        <v>8</v>
      </c>
      <c r="C19" s="277" t="s">
        <v>293</v>
      </c>
      <c r="D19" s="289">
        <f>D18</f>
        <v>-217200000</v>
      </c>
      <c r="E19" s="287"/>
      <c r="F19" s="266"/>
      <c r="G19" s="254"/>
      <c r="H19" s="254"/>
      <c r="I19" s="290" t="s">
        <v>296</v>
      </c>
      <c r="J19" s="254" t="s">
        <v>297</v>
      </c>
      <c r="K19" s="275"/>
    </row>
    <row r="20" spans="2:11" ht="18" customHeight="1">
      <c r="B20" s="276">
        <v>9</v>
      </c>
      <c r="C20" s="277" t="s">
        <v>295</v>
      </c>
      <c r="D20" s="289">
        <f>D19</f>
        <v>-217200000</v>
      </c>
      <c r="E20" s="287"/>
      <c r="F20" s="266"/>
      <c r="G20" s="254"/>
      <c r="H20" s="254"/>
      <c r="I20" s="290" t="s">
        <v>299</v>
      </c>
      <c r="J20" s="254" t="s">
        <v>260</v>
      </c>
      <c r="K20" s="291"/>
    </row>
    <row r="21" spans="2:11" ht="18" customHeight="1">
      <c r="B21" s="276">
        <v>10</v>
      </c>
      <c r="C21" s="277" t="s">
        <v>298</v>
      </c>
      <c r="D21" s="292" t="s">
        <v>128</v>
      </c>
      <c r="E21" s="293"/>
      <c r="F21" s="266"/>
      <c r="G21" s="254"/>
      <c r="H21" s="254"/>
      <c r="K21" s="291"/>
    </row>
    <row r="22" spans="2:11" ht="18" customHeight="1">
      <c r="B22" s="294"/>
      <c r="C22" s="295"/>
      <c r="D22" s="296"/>
      <c r="E22" s="297"/>
      <c r="F22" s="266"/>
      <c r="G22" s="254"/>
      <c r="H22" s="254"/>
      <c r="I22" s="275"/>
      <c r="J22" s="275"/>
      <c r="K22" s="275"/>
    </row>
    <row r="23" spans="2:11" ht="18" customHeight="1">
      <c r="B23" s="385" t="s">
        <v>300</v>
      </c>
      <c r="C23" s="385"/>
      <c r="D23" s="385"/>
      <c r="E23" s="297"/>
      <c r="F23" s="266"/>
      <c r="G23" s="254"/>
      <c r="H23" s="254"/>
      <c r="I23" s="275"/>
      <c r="J23" s="275"/>
      <c r="K23" s="275"/>
    </row>
  </sheetData>
  <mergeCells count="14">
    <mergeCell ref="B4:C4"/>
    <mergeCell ref="I4:J4"/>
    <mergeCell ref="B3:C3"/>
    <mergeCell ref="B9:E9"/>
    <mergeCell ref="I9:J9"/>
    <mergeCell ref="B10:F10"/>
    <mergeCell ref="B23:D23"/>
    <mergeCell ref="B5:C5"/>
    <mergeCell ref="D5:E5"/>
    <mergeCell ref="I6:K8"/>
    <mergeCell ref="B7:C7"/>
    <mergeCell ref="D7:E7"/>
    <mergeCell ref="B8:C8"/>
    <mergeCell ref="D8:E8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502F9-6CE4-4147-9FBF-67F2582522AD}">
  <dimension ref="C7"/>
  <sheetViews>
    <sheetView workbookViewId="0">
      <selection activeCell="C8" sqref="C8"/>
    </sheetView>
  </sheetViews>
  <sheetFormatPr defaultRowHeight="14.4"/>
  <sheetData>
    <row r="7" spans="3:3">
      <c r="C7" t="s">
        <v>306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CA6A7-980F-44E7-B2D3-5E420930CD4D}">
  <dimension ref="C7"/>
  <sheetViews>
    <sheetView workbookViewId="0">
      <selection activeCell="C8" sqref="C8"/>
    </sheetView>
  </sheetViews>
  <sheetFormatPr defaultRowHeight="14.4"/>
  <sheetData>
    <row r="7" spans="3:3">
      <c r="C7" t="s">
        <v>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FRONT PAGE</vt:lpstr>
      <vt:lpstr>BOOKING REQUEST</vt:lpstr>
      <vt:lpstr>MOVEMENT</vt:lpstr>
      <vt:lpstr>PAYMENT REPORT</vt:lpstr>
      <vt:lpstr>INVOICE</vt:lpstr>
      <vt:lpstr>Payment advise</vt:lpstr>
      <vt:lpstr>RANGKUMAN</vt:lpstr>
      <vt:lpstr>TIME LIMIT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14 FD1777TU</dc:creator>
  <cp:lastModifiedBy>HP 14 FD1777TU</cp:lastModifiedBy>
  <dcterms:created xsi:type="dcterms:W3CDTF">2026-01-04T02:26:01Z</dcterms:created>
  <dcterms:modified xsi:type="dcterms:W3CDTF">2026-01-04T03:15:04Z</dcterms:modified>
</cp:coreProperties>
</file>